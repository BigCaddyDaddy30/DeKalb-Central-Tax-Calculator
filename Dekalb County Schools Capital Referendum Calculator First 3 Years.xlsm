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8C4F1C90-05EB-6A55-5F09-09C24B55AC0B}"/>
  <workbookPr codeName="ThisWorkbook" defaultThemeVersion="124226"/>
  <mc:AlternateContent xmlns:mc="http://schemas.openxmlformats.org/markup-compatibility/2006">
    <mc:Choice Requires="x15">
      <x15ac:absPath xmlns:x15ac="http://schemas.microsoft.com/office/spreadsheetml/2010/11/ac" url="Z:\ssnider\Referendum\"/>
    </mc:Choice>
  </mc:AlternateContent>
  <bookViews>
    <workbookView xWindow="0" yWindow="0" windowWidth="28800" windowHeight="11856" firstSheet="1" activeTab="1"/>
  </bookViews>
  <sheets>
    <sheet name="Sheet3" sheetId="3" state="hidden" r:id="rId1"/>
    <sheet name="Overall Calculator" sheetId="4" r:id="rId2"/>
    <sheet name="Backup Info" sheetId="2" r:id="rId3"/>
  </sheets>
  <calcPr calcId="162913"/>
</workbook>
</file>

<file path=xl/calcChain.xml><?xml version="1.0" encoding="utf-8"?>
<calcChain xmlns="http://schemas.openxmlformats.org/spreadsheetml/2006/main">
  <c r="B5" i="2" l="1"/>
  <c r="DH5" i="2" l="1"/>
  <c r="AP5" i="2" l="1"/>
  <c r="BJ5" i="2"/>
  <c r="EB5" i="2"/>
  <c r="L5" i="2"/>
  <c r="BT5" i="2"/>
  <c r="DR5" i="2"/>
  <c r="CD5" i="2"/>
  <c r="V5" i="2"/>
  <c r="CX5" i="2"/>
  <c r="AZ5" i="2"/>
  <c r="CN5" i="2"/>
  <c r="AF5" i="2"/>
  <c r="EI3" i="2"/>
  <c r="EI9" i="2" s="1"/>
  <c r="EG3" i="2"/>
  <c r="EG9" i="2" s="1"/>
  <c r="DY3" i="2"/>
  <c r="DY9" i="2" s="1"/>
  <c r="DW3" i="2"/>
  <c r="DW9" i="2" s="1"/>
  <c r="DO3" i="2"/>
  <c r="DO26" i="2" s="1"/>
  <c r="DM3" i="2"/>
  <c r="DM9" i="2" s="1"/>
  <c r="DE3" i="2"/>
  <c r="DE9" i="2" s="1"/>
  <c r="DC3" i="2"/>
  <c r="DC48" i="2" s="1"/>
  <c r="CU3" i="2"/>
  <c r="CU9" i="2" s="1"/>
  <c r="CS3" i="2"/>
  <c r="CS48" i="2" s="1"/>
  <c r="CK3" i="2"/>
  <c r="CK48" i="2" s="1"/>
  <c r="CI3" i="2"/>
  <c r="CI9" i="2" s="1"/>
  <c r="CA3" i="2"/>
  <c r="CA9" i="2" s="1"/>
  <c r="BY3" i="2"/>
  <c r="BY48" i="2" s="1"/>
  <c r="BQ3" i="2"/>
  <c r="BQ9" i="2" s="1"/>
  <c r="BO3" i="2"/>
  <c r="BO9" i="2" s="1"/>
  <c r="BG3" i="2"/>
  <c r="BG9" i="2" s="1"/>
  <c r="BE3" i="2"/>
  <c r="BE9" i="2" s="1"/>
  <c r="AW3" i="2"/>
  <c r="AW9" i="2" s="1"/>
  <c r="AU3" i="2"/>
  <c r="AU9" i="2" s="1"/>
  <c r="AM3" i="2"/>
  <c r="AM9" i="2" s="1"/>
  <c r="AK3" i="2"/>
  <c r="AK9" i="2" s="1"/>
  <c r="AC3" i="2"/>
  <c r="AC9" i="2" s="1"/>
  <c r="AA3" i="2"/>
  <c r="AA9" i="2" s="1"/>
  <c r="S3" i="2"/>
  <c r="S9" i="2" s="1"/>
  <c r="Q3" i="2"/>
  <c r="Q9" i="2" s="1"/>
  <c r="I3" i="2"/>
  <c r="I36" i="2" s="1"/>
  <c r="G3" i="2"/>
  <c r="G16" i="2" s="1"/>
  <c r="E3" i="2"/>
  <c r="DY36" i="2" l="1"/>
  <c r="EG13" i="2"/>
  <c r="DW13" i="2"/>
  <c r="EI13" i="2"/>
  <c r="DY13" i="2"/>
  <c r="EG16" i="2"/>
  <c r="DW16" i="2"/>
  <c r="EI16" i="2"/>
  <c r="DY16" i="2"/>
  <c r="DW36" i="2"/>
  <c r="EG36" i="2"/>
  <c r="EI20" i="2"/>
  <c r="EI36" i="2"/>
  <c r="EG26" i="2"/>
  <c r="EG48" i="2"/>
  <c r="EI26" i="2"/>
  <c r="EI48" i="2"/>
  <c r="DW26" i="2"/>
  <c r="DW48" i="2"/>
  <c r="DY26" i="2"/>
  <c r="DY48" i="2"/>
  <c r="DM36" i="2"/>
  <c r="DO36" i="2"/>
  <c r="DO9" i="2"/>
  <c r="DM13" i="2"/>
  <c r="DO13" i="2"/>
  <c r="DC13" i="2"/>
  <c r="DM16" i="2"/>
  <c r="DE13" i="2"/>
  <c r="DO16" i="2"/>
  <c r="DE36" i="2"/>
  <c r="DM48" i="2"/>
  <c r="DO48" i="2"/>
  <c r="DM26" i="2"/>
  <c r="BQ36" i="2"/>
  <c r="DC16" i="2"/>
  <c r="DE16" i="2"/>
  <c r="DC36" i="2"/>
  <c r="DE26" i="2"/>
  <c r="DE48" i="2"/>
  <c r="DC9" i="2"/>
  <c r="DC26" i="2"/>
  <c r="CS13" i="2"/>
  <c r="CS17" i="2" s="1"/>
  <c r="CU13" i="2"/>
  <c r="CS16" i="2"/>
  <c r="CI13" i="2"/>
  <c r="CU16" i="2"/>
  <c r="CI16" i="2"/>
  <c r="CS36" i="2"/>
  <c r="BQ16" i="2"/>
  <c r="CI36" i="2"/>
  <c r="CU36" i="2"/>
  <c r="CS26" i="2"/>
  <c r="CU26" i="2"/>
  <c r="CU48" i="2"/>
  <c r="CS9" i="2"/>
  <c r="CK9" i="2"/>
  <c r="CK13" i="2"/>
  <c r="CA16" i="2"/>
  <c r="BO16" i="2"/>
  <c r="BY36" i="2"/>
  <c r="CK16" i="2"/>
  <c r="BY16" i="2"/>
  <c r="CA36" i="2"/>
  <c r="BO36" i="2"/>
  <c r="CK36" i="2"/>
  <c r="CI26" i="2"/>
  <c r="CI48" i="2"/>
  <c r="CK26" i="2"/>
  <c r="BY13" i="2"/>
  <c r="BY17" i="2" s="1"/>
  <c r="BQ13" i="2"/>
  <c r="CA13" i="2"/>
  <c r="CA26" i="2"/>
  <c r="CA48" i="2"/>
  <c r="BY9" i="2"/>
  <c r="BY26" i="2"/>
  <c r="BE13" i="2"/>
  <c r="BE36" i="2"/>
  <c r="BO13" i="2"/>
  <c r="BQ48" i="2"/>
  <c r="BO26" i="2"/>
  <c r="BO48" i="2"/>
  <c r="BQ26" i="2"/>
  <c r="BG13" i="2"/>
  <c r="BG36" i="2"/>
  <c r="BG16" i="2"/>
  <c r="AW16" i="2"/>
  <c r="AW36" i="2"/>
  <c r="BE16" i="2"/>
  <c r="BE26" i="2"/>
  <c r="BG26" i="2"/>
  <c r="BG48" i="2"/>
  <c r="BE48" i="2"/>
  <c r="AU13" i="2"/>
  <c r="AW13" i="2"/>
  <c r="AW17" i="2" s="1"/>
  <c r="AU16" i="2"/>
  <c r="AU36" i="2"/>
  <c r="AU26" i="2"/>
  <c r="AU48" i="2"/>
  <c r="AW26" i="2"/>
  <c r="AW48" i="2"/>
  <c r="AM13" i="2"/>
  <c r="AK13" i="2"/>
  <c r="AM16" i="2"/>
  <c r="AA36" i="2"/>
  <c r="AK36" i="2"/>
  <c r="AK16" i="2"/>
  <c r="AC36" i="2"/>
  <c r="AM36" i="2"/>
  <c r="AK26" i="2"/>
  <c r="AK48" i="2"/>
  <c r="AM48" i="2"/>
  <c r="AM26" i="2"/>
  <c r="AA13" i="2"/>
  <c r="AA17" i="2" s="1"/>
  <c r="AC13" i="2"/>
  <c r="AA16" i="2"/>
  <c r="AC16" i="2"/>
  <c r="AA48" i="2"/>
  <c r="AA26" i="2"/>
  <c r="AC48" i="2"/>
  <c r="AC26" i="2"/>
  <c r="Q13" i="2"/>
  <c r="Q20" i="2" s="1"/>
  <c r="Q16" i="2"/>
  <c r="S16" i="2"/>
  <c r="Q36" i="2"/>
  <c r="S13" i="2"/>
  <c r="S36" i="2"/>
  <c r="Q26" i="2"/>
  <c r="Q48" i="2"/>
  <c r="S26" i="2"/>
  <c r="S48" i="2"/>
  <c r="G36" i="2"/>
  <c r="G26" i="2"/>
  <c r="G9" i="2"/>
  <c r="I26" i="2"/>
  <c r="G13" i="2"/>
  <c r="G48" i="2"/>
  <c r="I48" i="2"/>
  <c r="I16" i="2"/>
  <c r="B7" i="2"/>
  <c r="DM49" i="2" l="1"/>
  <c r="DM50" i="2" s="1"/>
  <c r="DE49" i="2"/>
  <c r="DE50" i="2" s="1"/>
  <c r="DC37" i="2"/>
  <c r="EI49" i="2"/>
  <c r="EI50" i="2" s="1"/>
  <c r="DW49" i="2"/>
  <c r="DW50" i="2" s="1"/>
  <c r="DC20" i="2"/>
  <c r="DW17" i="2"/>
  <c r="DW18" i="2" s="1"/>
  <c r="EG17" i="2"/>
  <c r="EG18" i="2" s="1"/>
  <c r="DW20" i="2"/>
  <c r="DY17" i="2"/>
  <c r="DY18" i="2" s="1"/>
  <c r="DO17" i="2"/>
  <c r="DY20" i="2"/>
  <c r="DW37" i="2"/>
  <c r="DW38" i="2" s="1"/>
  <c r="EG20" i="2"/>
  <c r="DM20" i="2"/>
  <c r="EI17" i="2"/>
  <c r="EI18" i="2" s="1"/>
  <c r="EI22" i="2" s="1"/>
  <c r="DM17" i="2"/>
  <c r="DM18" i="2" s="1"/>
  <c r="DM22" i="2" s="1"/>
  <c r="EB7" i="2"/>
  <c r="AZ7" i="2"/>
  <c r="CX7" i="2"/>
  <c r="V7" i="2"/>
  <c r="CD7" i="2"/>
  <c r="DR7" i="2"/>
  <c r="AP7" i="2"/>
  <c r="BT7" i="2"/>
  <c r="L7" i="2"/>
  <c r="BJ7" i="2"/>
  <c r="DH7" i="2"/>
  <c r="AF7" i="2"/>
  <c r="CN7" i="2"/>
  <c r="DE20" i="2"/>
  <c r="CS18" i="2"/>
  <c r="DO18" i="2"/>
  <c r="DE17" i="2"/>
  <c r="DE18" i="2" s="1"/>
  <c r="CU17" i="2"/>
  <c r="CU18" i="2" s="1"/>
  <c r="DC17" i="2"/>
  <c r="DC18" i="2" s="1"/>
  <c r="DC22" i="2" s="1"/>
  <c r="DO49" i="2"/>
  <c r="DO50" i="2" s="1"/>
  <c r="CI20" i="2"/>
  <c r="DO20" i="2"/>
  <c r="BE17" i="2"/>
  <c r="BE18" i="2" s="1"/>
  <c r="CK17" i="2"/>
  <c r="CK18" i="2" s="1"/>
  <c r="DC38" i="2"/>
  <c r="AU20" i="2"/>
  <c r="CS20" i="2"/>
  <c r="AC20" i="2"/>
  <c r="BY49" i="2"/>
  <c r="BY50" i="2" s="1"/>
  <c r="CI17" i="2"/>
  <c r="CI18" i="2" s="1"/>
  <c r="BY18" i="2"/>
  <c r="CU20" i="2"/>
  <c r="CK20" i="2"/>
  <c r="BQ17" i="2"/>
  <c r="BQ18" i="2" s="1"/>
  <c r="BQ20" i="2"/>
  <c r="AC17" i="2"/>
  <c r="AC18" i="2" s="1"/>
  <c r="CA17" i="2"/>
  <c r="CA18" i="2" s="1"/>
  <c r="CA20" i="2"/>
  <c r="BG17" i="2"/>
  <c r="BG18" i="2" s="1"/>
  <c r="BO20" i="2"/>
  <c r="BY20" i="2"/>
  <c r="AA37" i="2"/>
  <c r="AA38" i="2" s="1"/>
  <c r="BG20" i="2"/>
  <c r="BE20" i="2"/>
  <c r="AW37" i="2"/>
  <c r="AW38" i="2" s="1"/>
  <c r="BO17" i="2"/>
  <c r="BO18" i="2" s="1"/>
  <c r="AM17" i="2"/>
  <c r="AM18" i="2" s="1"/>
  <c r="AA20" i="2"/>
  <c r="AK20" i="2"/>
  <c r="AW18" i="2"/>
  <c r="AK17" i="2"/>
  <c r="AK18" i="2" s="1"/>
  <c r="AK37" i="2"/>
  <c r="AK38" i="2" s="1"/>
  <c r="AK27" i="2"/>
  <c r="AK28" i="2" s="1"/>
  <c r="AU17" i="2"/>
  <c r="AU18" i="2" s="1"/>
  <c r="AW20" i="2"/>
  <c r="S17" i="2"/>
  <c r="S18" i="2" s="1"/>
  <c r="AM37" i="2"/>
  <c r="AM38" i="2" s="1"/>
  <c r="AM20" i="2"/>
  <c r="AM27" i="2"/>
  <c r="AM28" i="2" s="1"/>
  <c r="AA18" i="2"/>
  <c r="Q17" i="2"/>
  <c r="Q18" i="2" s="1"/>
  <c r="Q22" i="2" s="1"/>
  <c r="S37" i="2"/>
  <c r="S38" i="2" s="1"/>
  <c r="S20" i="2"/>
  <c r="G37" i="2"/>
  <c r="G38" i="2" s="1"/>
  <c r="G20" i="2"/>
  <c r="G17" i="2"/>
  <c r="G18" i="2" s="1"/>
  <c r="G49" i="2"/>
  <c r="G50" i="2" s="1"/>
  <c r="B6" i="2"/>
  <c r="EB49" i="2"/>
  <c r="EG49" i="2" s="1"/>
  <c r="EG50" i="2" s="1"/>
  <c r="EB37" i="2"/>
  <c r="EG37" i="2" s="1"/>
  <c r="EG38" i="2" s="1"/>
  <c r="DR49" i="2"/>
  <c r="DY49" i="2" s="1"/>
  <c r="DY50" i="2" s="1"/>
  <c r="DR37" i="2"/>
  <c r="DY37" i="2" s="1"/>
  <c r="DY38" i="2" s="1"/>
  <c r="DH49" i="2"/>
  <c r="DH37" i="2"/>
  <c r="DO37" i="2" s="1"/>
  <c r="DO38" i="2" s="1"/>
  <c r="CX49" i="2"/>
  <c r="DC49" i="2" s="1"/>
  <c r="DC50" i="2" s="1"/>
  <c r="CX37" i="2"/>
  <c r="DE37" i="2" s="1"/>
  <c r="DE38" i="2" s="1"/>
  <c r="CN49" i="2"/>
  <c r="CU49" i="2" s="1"/>
  <c r="CU50" i="2" s="1"/>
  <c r="CN37" i="2"/>
  <c r="CS37" i="2" s="1"/>
  <c r="CS38" i="2" s="1"/>
  <c r="CD49" i="2"/>
  <c r="CK49" i="2" s="1"/>
  <c r="CK50" i="2" s="1"/>
  <c r="CD37" i="2"/>
  <c r="CK37" i="2" s="1"/>
  <c r="CK38" i="2" s="1"/>
  <c r="BT49" i="2"/>
  <c r="CA49" i="2" s="1"/>
  <c r="CA50" i="2" s="1"/>
  <c r="BT37" i="2"/>
  <c r="BY37" i="2" s="1"/>
  <c r="BY38" i="2" s="1"/>
  <c r="BJ49" i="2"/>
  <c r="BQ49" i="2" s="1"/>
  <c r="BQ50" i="2" s="1"/>
  <c r="BJ37" i="2"/>
  <c r="BO37" i="2" s="1"/>
  <c r="BO38" i="2" s="1"/>
  <c r="AZ49" i="2"/>
  <c r="BG49" i="2" s="1"/>
  <c r="BG50" i="2" s="1"/>
  <c r="AZ37" i="2"/>
  <c r="BG37" i="2" s="1"/>
  <c r="BG38" i="2" s="1"/>
  <c r="AP49" i="2"/>
  <c r="AU49" i="2" s="1"/>
  <c r="AU50" i="2" s="1"/>
  <c r="AP37" i="2"/>
  <c r="AU37" i="2" s="1"/>
  <c r="AU38" i="2" s="1"/>
  <c r="AF49" i="2"/>
  <c r="AM49" i="2" s="1"/>
  <c r="AM50" i="2" s="1"/>
  <c r="AF37" i="2"/>
  <c r="V49" i="2"/>
  <c r="AA49" i="2" s="1"/>
  <c r="AA50" i="2" s="1"/>
  <c r="V37" i="2"/>
  <c r="AC37" i="2" s="1"/>
  <c r="AC38" i="2" s="1"/>
  <c r="L37" i="2"/>
  <c r="Q37" i="2" s="1"/>
  <c r="Q38" i="2" s="1"/>
  <c r="L49" i="2"/>
  <c r="S49" i="2" s="1"/>
  <c r="S50" i="2" s="1"/>
  <c r="L17" i="2"/>
  <c r="Q49" i="2" l="1"/>
  <c r="Q50" i="2" s="1"/>
  <c r="BE49" i="2"/>
  <c r="BE50" i="2" s="1"/>
  <c r="BE37" i="2"/>
  <c r="BE38" i="2" s="1"/>
  <c r="CA37" i="2"/>
  <c r="CA38" i="2" s="1"/>
  <c r="BQ37" i="2"/>
  <c r="BQ38" i="2" s="1"/>
  <c r="CI37" i="2"/>
  <c r="CI38" i="2" s="1"/>
  <c r="DM37" i="2"/>
  <c r="DM38" i="2" s="1"/>
  <c r="EI37" i="2"/>
  <c r="EI38" i="2" s="1"/>
  <c r="AC49" i="2"/>
  <c r="AC50" i="2" s="1"/>
  <c r="BO49" i="2"/>
  <c r="BO50" i="2" s="1"/>
  <c r="AK49" i="2"/>
  <c r="AK50" i="2" s="1"/>
  <c r="CU37" i="2"/>
  <c r="CU38" i="2" s="1"/>
  <c r="CI49" i="2"/>
  <c r="CI50" i="2" s="1"/>
  <c r="AW49" i="2"/>
  <c r="AW50" i="2" s="1"/>
  <c r="CS49" i="2"/>
  <c r="CS50" i="2" s="1"/>
  <c r="EG22" i="2"/>
  <c r="DW22" i="2"/>
  <c r="DY22" i="2"/>
  <c r="CS22" i="2"/>
  <c r="BQ22" i="2"/>
  <c r="DE22" i="2"/>
  <c r="CN6" i="2"/>
  <c r="EB6" i="2"/>
  <c r="AZ6" i="2"/>
  <c r="CX6" i="2"/>
  <c r="V6" i="2"/>
  <c r="CD6" i="2"/>
  <c r="DR6" i="2"/>
  <c r="AP6" i="2"/>
  <c r="BT6" i="2"/>
  <c r="L6" i="2"/>
  <c r="BJ6" i="2"/>
  <c r="DH6" i="2"/>
  <c r="AF6" i="2"/>
  <c r="AC22" i="2"/>
  <c r="CA22" i="2"/>
  <c r="DO22" i="2"/>
  <c r="AU22" i="2"/>
  <c r="BO22" i="2"/>
  <c r="CI22" i="2"/>
  <c r="BY22" i="2"/>
  <c r="CU22" i="2"/>
  <c r="BG22" i="2"/>
  <c r="BE22" i="2"/>
  <c r="CK22" i="2"/>
  <c r="AM22" i="2"/>
  <c r="AA22" i="2"/>
  <c r="AK22" i="2"/>
  <c r="S22" i="2"/>
  <c r="AW22" i="2"/>
  <c r="S27" i="2"/>
  <c r="S28" i="2" s="1"/>
  <c r="Q27" i="2"/>
  <c r="Q28" i="2" s="1"/>
  <c r="G22" i="2"/>
  <c r="ED47" i="2"/>
  <c r="ED35" i="2"/>
  <c r="DT47" i="2"/>
  <c r="DT35" i="2"/>
  <c r="DJ47" i="2"/>
  <c r="DJ35" i="2"/>
  <c r="CZ47" i="2"/>
  <c r="CZ35" i="2"/>
  <c r="CP47" i="2"/>
  <c r="CP35" i="2"/>
  <c r="CF47" i="2"/>
  <c r="CF35" i="2"/>
  <c r="BV47" i="2"/>
  <c r="BV35" i="2"/>
  <c r="BL47" i="2"/>
  <c r="BL35" i="2"/>
  <c r="BB47" i="2"/>
  <c r="BB35" i="2"/>
  <c r="AR47" i="2"/>
  <c r="AR35" i="2"/>
  <c r="AH47" i="2"/>
  <c r="AH35" i="2"/>
  <c r="X47" i="2"/>
  <c r="X35" i="2"/>
  <c r="N47" i="2"/>
  <c r="N35" i="2"/>
  <c r="D35" i="2"/>
  <c r="D47" i="2"/>
  <c r="B17" i="2"/>
  <c r="G27" i="2" s="1"/>
  <c r="G28" i="2" s="1"/>
  <c r="EB17" i="2" l="1"/>
  <c r="DR17" i="2"/>
  <c r="DH17" i="2"/>
  <c r="CX17" i="2"/>
  <c r="CN17" i="2"/>
  <c r="CD17" i="2"/>
  <c r="BT17" i="2"/>
  <c r="BJ17" i="2"/>
  <c r="AZ17" i="2"/>
  <c r="AP17" i="2"/>
  <c r="V17" i="2"/>
  <c r="EI27" i="2" l="1"/>
  <c r="EI28" i="2" s="1"/>
  <c r="EG27" i="2"/>
  <c r="EG28" i="2" s="1"/>
  <c r="DY27" i="2"/>
  <c r="DY28" i="2" s="1"/>
  <c r="DW27" i="2"/>
  <c r="DW28" i="2" s="1"/>
  <c r="DO27" i="2"/>
  <c r="DO28" i="2" s="1"/>
  <c r="DM27" i="2"/>
  <c r="DM28" i="2" s="1"/>
  <c r="DC27" i="2"/>
  <c r="DC28" i="2" s="1"/>
  <c r="DE27" i="2"/>
  <c r="DE28" i="2" s="1"/>
  <c r="CS27" i="2"/>
  <c r="CS28" i="2" s="1"/>
  <c r="CU27" i="2"/>
  <c r="CU28" i="2" s="1"/>
  <c r="CI27" i="2"/>
  <c r="CI28" i="2" s="1"/>
  <c r="CK27" i="2"/>
  <c r="CK28" i="2" s="1"/>
  <c r="BY27" i="2"/>
  <c r="BY28" i="2" s="1"/>
  <c r="CA27" i="2"/>
  <c r="CA28" i="2" s="1"/>
  <c r="BO27" i="2"/>
  <c r="BO28" i="2" s="1"/>
  <c r="BQ27" i="2"/>
  <c r="BQ28" i="2" s="1"/>
  <c r="BE27" i="2"/>
  <c r="BE28" i="2" s="1"/>
  <c r="BG27" i="2"/>
  <c r="BG28" i="2" s="1"/>
  <c r="AW27" i="2"/>
  <c r="AW28" i="2" s="1"/>
  <c r="AU27" i="2"/>
  <c r="AU28" i="2" s="1"/>
  <c r="AC27" i="2"/>
  <c r="AC28" i="2" s="1"/>
  <c r="AA27" i="2"/>
  <c r="AA28" i="2" s="1"/>
  <c r="AF13" i="2"/>
  <c r="AG4" i="2"/>
  <c r="AI3" i="2"/>
  <c r="AI12" i="2" s="1"/>
  <c r="AF3" i="2"/>
  <c r="AP13" i="2"/>
  <c r="AQ4" i="2"/>
  <c r="AS3" i="2"/>
  <c r="AS12" i="2" s="1"/>
  <c r="AP3" i="2"/>
  <c r="AZ13" i="2"/>
  <c r="BA4" i="2"/>
  <c r="BC3" i="2"/>
  <c r="BC12" i="2" s="1"/>
  <c r="AZ3" i="2"/>
  <c r="BJ13" i="2"/>
  <c r="BK4" i="2"/>
  <c r="BM3" i="2"/>
  <c r="BJ3" i="2"/>
  <c r="BT13" i="2"/>
  <c r="BU4" i="2"/>
  <c r="BW3" i="2"/>
  <c r="BW12" i="2" s="1"/>
  <c r="BT3" i="2"/>
  <c r="CD13" i="2"/>
  <c r="CE4" i="2"/>
  <c r="CG3" i="2"/>
  <c r="CG12" i="2" s="1"/>
  <c r="CD3" i="2"/>
  <c r="CN13" i="2"/>
  <c r="CO4" i="2"/>
  <c r="CQ3" i="2"/>
  <c r="CQ12" i="2" s="1"/>
  <c r="CN3" i="2"/>
  <c r="CX13" i="2"/>
  <c r="CY4" i="2"/>
  <c r="DA3" i="2"/>
  <c r="DA26" i="2" s="1"/>
  <c r="CX3" i="2"/>
  <c r="DH13" i="2"/>
  <c r="DI4" i="2"/>
  <c r="DK3" i="2"/>
  <c r="DK12" i="2" s="1"/>
  <c r="DH3" i="2"/>
  <c r="DR13" i="2"/>
  <c r="DS4" i="2"/>
  <c r="DU3" i="2"/>
  <c r="DU12" i="2" s="1"/>
  <c r="DR3" i="2"/>
  <c r="V3" i="2"/>
  <c r="Y3" i="2"/>
  <c r="Y12" i="2" s="1"/>
  <c r="DA12" i="2" l="1"/>
  <c r="BM12" i="2"/>
  <c r="DA48" i="2"/>
  <c r="DA36" i="2"/>
  <c r="BM5" i="2"/>
  <c r="BM8" i="2" s="1"/>
  <c r="BM9" i="2" s="1"/>
  <c r="BM36" i="2"/>
  <c r="BM48" i="2"/>
  <c r="DK16" i="2"/>
  <c r="DK48" i="2"/>
  <c r="DK36" i="2"/>
  <c r="BW26" i="2"/>
  <c r="BW48" i="2"/>
  <c r="BW36" i="2"/>
  <c r="CG5" i="2"/>
  <c r="CG8" i="2" s="1"/>
  <c r="CG9" i="2" s="1"/>
  <c r="CG11" i="2" s="1"/>
  <c r="CG48" i="2"/>
  <c r="CG36" i="2"/>
  <c r="AS16" i="2"/>
  <c r="AS36" i="2"/>
  <c r="AS48" i="2"/>
  <c r="AI16" i="2"/>
  <c r="AI36" i="2"/>
  <c r="AI48" i="2"/>
  <c r="DU5" i="2"/>
  <c r="DU8" i="2" s="1"/>
  <c r="DU9" i="2" s="1"/>
  <c r="DU11" i="2" s="1"/>
  <c r="DU48" i="2"/>
  <c r="DU36" i="2"/>
  <c r="Y48" i="2"/>
  <c r="Y36" i="2"/>
  <c r="CQ26" i="2"/>
  <c r="CQ36" i="2"/>
  <c r="CQ48" i="2"/>
  <c r="BC16" i="2"/>
  <c r="BC48" i="2"/>
  <c r="BC36" i="2"/>
  <c r="AI26" i="2"/>
  <c r="AI5" i="2"/>
  <c r="AI8" i="2" s="1"/>
  <c r="AI9" i="2" s="1"/>
  <c r="AI11" i="2" s="1"/>
  <c r="AS26" i="2"/>
  <c r="AS5" i="2"/>
  <c r="AS8" i="2" s="1"/>
  <c r="AS9" i="2" s="1"/>
  <c r="AS11" i="2" s="1"/>
  <c r="BM16" i="2"/>
  <c r="BC26" i="2"/>
  <c r="BC5" i="2"/>
  <c r="BC8" i="2" s="1"/>
  <c r="BC9" i="2" s="1"/>
  <c r="BC11" i="2" s="1"/>
  <c r="BW16" i="2"/>
  <c r="BM26" i="2"/>
  <c r="BW5" i="2"/>
  <c r="BW8" i="2" s="1"/>
  <c r="BW9" i="2" s="1"/>
  <c r="BW11" i="2" s="1"/>
  <c r="CG16" i="2"/>
  <c r="CG26" i="2"/>
  <c r="CQ16" i="2"/>
  <c r="CQ5" i="2"/>
  <c r="CQ8" i="2" s="1"/>
  <c r="CQ9" i="2" s="1"/>
  <c r="CQ11" i="2" s="1"/>
  <c r="DK26" i="2"/>
  <c r="DK5" i="2"/>
  <c r="DK8" i="2" s="1"/>
  <c r="DK9" i="2" s="1"/>
  <c r="DK11" i="2" s="1"/>
  <c r="DA16" i="2"/>
  <c r="DA5" i="2"/>
  <c r="DA8" i="2" s="1"/>
  <c r="DA9" i="2" s="1"/>
  <c r="DA11" i="2" s="1"/>
  <c r="DU16" i="2"/>
  <c r="DU26" i="2"/>
  <c r="BM10" i="2" l="1"/>
  <c r="BM11" i="2"/>
  <c r="CG10" i="2"/>
  <c r="CG13" i="2" s="1"/>
  <c r="DA10" i="2"/>
  <c r="DA13" i="2" s="1"/>
  <c r="AI10" i="2"/>
  <c r="AI13" i="2" s="1"/>
  <c r="AS10" i="2"/>
  <c r="AS13" i="2" s="1"/>
  <c r="BC10" i="2"/>
  <c r="BC13" i="2" s="1"/>
  <c r="BW10" i="2"/>
  <c r="BW13" i="2" s="1"/>
  <c r="CQ10" i="2"/>
  <c r="CQ13" i="2" s="1"/>
  <c r="DK10" i="2"/>
  <c r="DK13" i="2" s="1"/>
  <c r="DU10" i="2"/>
  <c r="DU13" i="2" s="1"/>
  <c r="EC4" i="2"/>
  <c r="W4" i="2"/>
  <c r="M4" i="2"/>
  <c r="C4" i="2"/>
  <c r="DA27" i="2" l="1"/>
  <c r="DA28" i="2" s="1"/>
  <c r="BM13" i="2"/>
  <c r="BM20" i="2" s="1"/>
  <c r="DA49" i="2"/>
  <c r="DA50" i="2" s="1"/>
  <c r="DA37" i="2"/>
  <c r="DA38" i="2" s="1"/>
  <c r="CG49" i="2"/>
  <c r="CG50" i="2" s="1"/>
  <c r="CG37" i="2"/>
  <c r="CG38" i="2" s="1"/>
  <c r="EJ4" i="2"/>
  <c r="DA17" i="2"/>
  <c r="DA18" i="2" s="1"/>
  <c r="DA20" i="2"/>
  <c r="CG20" i="2"/>
  <c r="CG17" i="2"/>
  <c r="CG18" i="2" s="1"/>
  <c r="CG27" i="2"/>
  <c r="CG28" i="2" s="1"/>
  <c r="EB3" i="2"/>
  <c r="BM17" i="2" l="1"/>
  <c r="BM18" i="2" s="1"/>
  <c r="BM22" i="2" s="1"/>
  <c r="BM37" i="2"/>
  <c r="BM38" i="2" s="1"/>
  <c r="BM49" i="2"/>
  <c r="BM50" i="2" s="1"/>
  <c r="BM27" i="2"/>
  <c r="BM28" i="2" s="1"/>
  <c r="BC20" i="2"/>
  <c r="BC49" i="2"/>
  <c r="BC50" i="2" s="1"/>
  <c r="BC37" i="2"/>
  <c r="BC38" i="2" s="1"/>
  <c r="BW20" i="2"/>
  <c r="BW37" i="2"/>
  <c r="BW38" i="2" s="1"/>
  <c r="BW49" i="2"/>
  <c r="BW50" i="2" s="1"/>
  <c r="DU49" i="2"/>
  <c r="DU50" i="2" s="1"/>
  <c r="DU37" i="2"/>
  <c r="DU38" i="2" s="1"/>
  <c r="AS17" i="2"/>
  <c r="AS18" i="2" s="1"/>
  <c r="AS37" i="2"/>
  <c r="AS38" i="2" s="1"/>
  <c r="AS49" i="2"/>
  <c r="AS50" i="2" s="1"/>
  <c r="CQ37" i="2"/>
  <c r="CQ38" i="2" s="1"/>
  <c r="CQ49" i="2"/>
  <c r="CQ50" i="2" s="1"/>
  <c r="DK20" i="2"/>
  <c r="DK49" i="2"/>
  <c r="DK50" i="2" s="1"/>
  <c r="DK37" i="2"/>
  <c r="DK38" i="2" s="1"/>
  <c r="AI37" i="2"/>
  <c r="AI38" i="2" s="1"/>
  <c r="AI49" i="2"/>
  <c r="AI50" i="2" s="1"/>
  <c r="AS27" i="2"/>
  <c r="AS28" i="2" s="1"/>
  <c r="BC27" i="2"/>
  <c r="BC28" i="2" s="1"/>
  <c r="BC17" i="2"/>
  <c r="BC18" i="2" s="1"/>
  <c r="AS20" i="2"/>
  <c r="DA22" i="2"/>
  <c r="AI27" i="2"/>
  <c r="AI28" i="2" s="1"/>
  <c r="AI20" i="2"/>
  <c r="AI17" i="2"/>
  <c r="AI18" i="2" s="1"/>
  <c r="CG22" i="2"/>
  <c r="BW27" i="2"/>
  <c r="BW28" i="2" s="1"/>
  <c r="BW17" i="2"/>
  <c r="BW18" i="2" s="1"/>
  <c r="DK17" i="2"/>
  <c r="DK18" i="2" s="1"/>
  <c r="DK27" i="2"/>
  <c r="DK28" i="2" s="1"/>
  <c r="CQ17" i="2"/>
  <c r="CQ18" i="2" s="1"/>
  <c r="CQ20" i="2"/>
  <c r="CQ27" i="2"/>
  <c r="CQ28" i="2" s="1"/>
  <c r="DU20" i="2"/>
  <c r="DU17" i="2"/>
  <c r="DU18" i="2" s="1"/>
  <c r="DU27" i="2"/>
  <c r="DU28" i="2" s="1"/>
  <c r="EE3" i="2"/>
  <c r="EE12" i="2" s="1"/>
  <c r="EB13" i="2"/>
  <c r="AS22" i="2" l="1"/>
  <c r="CQ22" i="2"/>
  <c r="BC22" i="2"/>
  <c r="DK22" i="2"/>
  <c r="BW22" i="2"/>
  <c r="EE16" i="2"/>
  <c r="EE48" i="2"/>
  <c r="EE36" i="2"/>
  <c r="AI22" i="2"/>
  <c r="DU22" i="2"/>
  <c r="EE5" i="2"/>
  <c r="EE8" i="2" s="1"/>
  <c r="EE9" i="2" s="1"/>
  <c r="EE26" i="2"/>
  <c r="O3" i="2"/>
  <c r="O12" i="2" s="1"/>
  <c r="EE10" i="2" l="1"/>
  <c r="EE11" i="2"/>
  <c r="O5" i="2"/>
  <c r="O8" i="2" s="1"/>
  <c r="O9" i="2" s="1"/>
  <c r="O36" i="2"/>
  <c r="O48" i="2"/>
  <c r="O16" i="2"/>
  <c r="O26" i="2"/>
  <c r="V13" i="2"/>
  <c r="X26" i="2"/>
  <c r="L3" i="2"/>
  <c r="L13" i="2"/>
  <c r="N25" i="2"/>
  <c r="D25" i="2"/>
  <c r="EE13" i="2" l="1"/>
  <c r="EE49" i="2" s="1"/>
  <c r="EE50" i="2" s="1"/>
  <c r="O10" i="2"/>
  <c r="O11" i="2"/>
  <c r="Y26" i="2"/>
  <c r="Y16" i="2"/>
  <c r="Y5" i="2"/>
  <c r="Y8" i="2" s="1"/>
  <c r="EE20" i="2" l="1"/>
  <c r="EE17" i="2"/>
  <c r="EE18" i="2" s="1"/>
  <c r="EE37" i="2"/>
  <c r="EE38" i="2" s="1"/>
  <c r="EE27" i="2"/>
  <c r="EE28" i="2" s="1"/>
  <c r="Y9" i="2"/>
  <c r="Y11" i="2" s="1"/>
  <c r="O13" i="2"/>
  <c r="O49" i="2" s="1"/>
  <c r="O50" i="2" s="1"/>
  <c r="EE22" i="2" l="1"/>
  <c r="Y10" i="2"/>
  <c r="Y13" i="2" s="1"/>
  <c r="O37" i="2"/>
  <c r="O38" i="2" s="1"/>
  <c r="O27" i="2"/>
  <c r="O28" i="2" s="1"/>
  <c r="O17" i="2"/>
  <c r="O18" i="2" s="1"/>
  <c r="O20" i="2"/>
  <c r="J45" i="4"/>
  <c r="J47" i="4" s="1"/>
  <c r="O22" i="2" l="1"/>
  <c r="Y17" i="2"/>
  <c r="Y18" i="2" s="1"/>
  <c r="Y49" i="2"/>
  <c r="Y50" i="2" s="1"/>
  <c r="Y37" i="2"/>
  <c r="Y38" i="2" s="1"/>
  <c r="CD8" i="2"/>
  <c r="CD16" i="2" s="1"/>
  <c r="BT8" i="2"/>
  <c r="BT16" i="2" s="1"/>
  <c r="CN8" i="2"/>
  <c r="CN16" i="2" s="1"/>
  <c r="BJ8" i="2"/>
  <c r="BJ16" i="2" s="1"/>
  <c r="V8" i="2"/>
  <c r="V16" i="2" s="1"/>
  <c r="AZ8" i="2"/>
  <c r="AZ16" i="2" s="1"/>
  <c r="DR8" i="2"/>
  <c r="DR16" i="2" s="1"/>
  <c r="AP8" i="2"/>
  <c r="AP16" i="2" s="1"/>
  <c r="DH8" i="2"/>
  <c r="DH16" i="2" s="1"/>
  <c r="AF8" i="2"/>
  <c r="AF16" i="2" s="1"/>
  <c r="CX8" i="2"/>
  <c r="CX16" i="2" s="1"/>
  <c r="EB8" i="2"/>
  <c r="EB16" i="2" s="1"/>
  <c r="Y20" i="2"/>
  <c r="Y27" i="2"/>
  <c r="Y28" i="2" s="1"/>
  <c r="L8" i="2"/>
  <c r="L16" i="2" s="1"/>
  <c r="EG30" i="2" l="1"/>
  <c r="EG32" i="2" s="1"/>
  <c r="EG33" i="2" s="1"/>
  <c r="EI30" i="2"/>
  <c r="EI32" i="2" s="1"/>
  <c r="EI33" i="2" s="1"/>
  <c r="DY30" i="2"/>
  <c r="DY32" i="2" s="1"/>
  <c r="DY33" i="2" s="1"/>
  <c r="DW30" i="2"/>
  <c r="DW32" i="2" s="1"/>
  <c r="DW33" i="2" s="1"/>
  <c r="DM30" i="2"/>
  <c r="DM32" i="2" s="1"/>
  <c r="DM33" i="2" s="1"/>
  <c r="DO30" i="2"/>
  <c r="DO32" i="2" s="1"/>
  <c r="DO33" i="2" s="1"/>
  <c r="DC30" i="2"/>
  <c r="DC32" i="2" s="1"/>
  <c r="DC33" i="2" s="1"/>
  <c r="DE30" i="2"/>
  <c r="DE32" i="2" s="1"/>
  <c r="DE33" i="2" s="1"/>
  <c r="CS30" i="2"/>
  <c r="CS32" i="2" s="1"/>
  <c r="CS33" i="2" s="1"/>
  <c r="CU30" i="2"/>
  <c r="CU32" i="2" s="1"/>
  <c r="CU33" i="2" s="1"/>
  <c r="CK30" i="2"/>
  <c r="CK32" i="2" s="1"/>
  <c r="CK33" i="2" s="1"/>
  <c r="CI30" i="2"/>
  <c r="CI32" i="2" s="1"/>
  <c r="CI33" i="2" s="1"/>
  <c r="BY30" i="2"/>
  <c r="BY32" i="2" s="1"/>
  <c r="BY33" i="2" s="1"/>
  <c r="CA30" i="2"/>
  <c r="CA32" i="2" s="1"/>
  <c r="CA33" i="2" s="1"/>
  <c r="BQ30" i="2"/>
  <c r="BQ32" i="2" s="1"/>
  <c r="BQ33" i="2" s="1"/>
  <c r="BO30" i="2"/>
  <c r="BO32" i="2" s="1"/>
  <c r="BO33" i="2" s="1"/>
  <c r="BE30" i="2"/>
  <c r="BE32" i="2" s="1"/>
  <c r="BE33" i="2" s="1"/>
  <c r="BG30" i="2"/>
  <c r="BG32" i="2" s="1"/>
  <c r="BG33" i="2" s="1"/>
  <c r="AU30" i="2"/>
  <c r="AU32" i="2" s="1"/>
  <c r="AU33" i="2" s="1"/>
  <c r="AW30" i="2"/>
  <c r="AW32" i="2" s="1"/>
  <c r="AW33" i="2" s="1"/>
  <c r="AM30" i="2"/>
  <c r="AM32" i="2" s="1"/>
  <c r="AM33" i="2" s="1"/>
  <c r="AK30" i="2"/>
  <c r="AK32" i="2" s="1"/>
  <c r="AK33" i="2" s="1"/>
  <c r="AC30" i="2"/>
  <c r="AC32" i="2" s="1"/>
  <c r="AC33" i="2" s="1"/>
  <c r="AA30" i="2"/>
  <c r="AA32" i="2" s="1"/>
  <c r="AA33" i="2" s="1"/>
  <c r="S30" i="2"/>
  <c r="S32" i="2" s="1"/>
  <c r="S33" i="2" s="1"/>
  <c r="Q30" i="2"/>
  <c r="Q32" i="2" s="1"/>
  <c r="Q33" i="2" s="1"/>
  <c r="BC30" i="2"/>
  <c r="Y30" i="2"/>
  <c r="EE30" i="2"/>
  <c r="BM30" i="2"/>
  <c r="DA30" i="2"/>
  <c r="CQ30" i="2"/>
  <c r="AI30" i="2"/>
  <c r="BW30" i="2"/>
  <c r="O29" i="2"/>
  <c r="CG29" i="2"/>
  <c r="AI29" i="2"/>
  <c r="EE29" i="2"/>
  <c r="AS29" i="2"/>
  <c r="BC29" i="2"/>
  <c r="BM29" i="2"/>
  <c r="DK29" i="2"/>
  <c r="DU29" i="2"/>
  <c r="CQ29" i="2"/>
  <c r="BW29" i="2"/>
  <c r="DA29" i="2"/>
  <c r="DK30" i="2"/>
  <c r="CG30" i="2"/>
  <c r="AS30" i="2"/>
  <c r="O30" i="2"/>
  <c r="DU30" i="2"/>
  <c r="E12" i="2"/>
  <c r="CD36" i="2"/>
  <c r="CD48" i="2"/>
  <c r="BT48" i="2"/>
  <c r="BT36" i="2"/>
  <c r="CN48" i="2"/>
  <c r="CN36" i="2"/>
  <c r="DH48" i="2"/>
  <c r="DH36" i="2"/>
  <c r="DR36" i="2"/>
  <c r="DR48" i="2"/>
  <c r="EB48" i="2"/>
  <c r="EB36" i="2"/>
  <c r="AZ48" i="2"/>
  <c r="AZ36" i="2"/>
  <c r="BJ48" i="2"/>
  <c r="BJ36" i="2"/>
  <c r="CX36" i="2"/>
  <c r="CX48" i="2"/>
  <c r="AF48" i="2"/>
  <c r="AF36" i="2"/>
  <c r="AP48" i="2"/>
  <c r="AP36" i="2"/>
  <c r="V48" i="2"/>
  <c r="V36" i="2"/>
  <c r="Y22" i="2"/>
  <c r="Y29" i="2" s="1"/>
  <c r="L36" i="2"/>
  <c r="L48" i="2"/>
  <c r="E36" i="2"/>
  <c r="E48" i="2"/>
  <c r="E26" i="2"/>
  <c r="CN18" i="2"/>
  <c r="AP18" i="2"/>
  <c r="AZ18" i="2"/>
  <c r="BJ18" i="2"/>
  <c r="BT18" i="2"/>
  <c r="DR18" i="2"/>
  <c r="CX18" i="2"/>
  <c r="AF18" i="2"/>
  <c r="DH18" i="2"/>
  <c r="CD18" i="2"/>
  <c r="EB18" i="2"/>
  <c r="E5" i="2"/>
  <c r="E8" i="2" s="1"/>
  <c r="E9" i="2" s="1"/>
  <c r="E16" i="2"/>
  <c r="I13" i="2"/>
  <c r="I9" i="2"/>
  <c r="L18" i="2"/>
  <c r="V18" i="2"/>
  <c r="B8" i="2"/>
  <c r="B16" i="2" s="1"/>
  <c r="G30" i="2" s="1"/>
  <c r="G32" i="2" s="1"/>
  <c r="G33" i="2" s="1"/>
  <c r="B13" i="2"/>
  <c r="EG40" i="2" l="1"/>
  <c r="EG42" i="2" s="1"/>
  <c r="EG43" i="2" s="1"/>
  <c r="EI40" i="2"/>
  <c r="EI42" i="2" s="1"/>
  <c r="EI43" i="2" s="1"/>
  <c r="EG52" i="2"/>
  <c r="EG54" i="2" s="1"/>
  <c r="EG55" i="2" s="1"/>
  <c r="EI52" i="2"/>
  <c r="EI54" i="2" s="1"/>
  <c r="EI55" i="2" s="1"/>
  <c r="DY52" i="2"/>
  <c r="DY54" i="2" s="1"/>
  <c r="DY55" i="2" s="1"/>
  <c r="DW52" i="2"/>
  <c r="DW54" i="2" s="1"/>
  <c r="DW55" i="2" s="1"/>
  <c r="DW40" i="2"/>
  <c r="DW42" i="2" s="1"/>
  <c r="DW43" i="2" s="1"/>
  <c r="DY40" i="2"/>
  <c r="DY42" i="2" s="1"/>
  <c r="DY43" i="2" s="1"/>
  <c r="DO40" i="2"/>
  <c r="DO42" i="2" s="1"/>
  <c r="DO43" i="2" s="1"/>
  <c r="DM40" i="2"/>
  <c r="DM42" i="2" s="1"/>
  <c r="DM43" i="2" s="1"/>
  <c r="DO52" i="2"/>
  <c r="DO54" i="2" s="1"/>
  <c r="DO55" i="2" s="1"/>
  <c r="DM52" i="2"/>
  <c r="DM54" i="2" s="1"/>
  <c r="DM55" i="2" s="1"/>
  <c r="DE52" i="2"/>
  <c r="DE54" i="2" s="1"/>
  <c r="DE55" i="2" s="1"/>
  <c r="DC52" i="2"/>
  <c r="DC54" i="2" s="1"/>
  <c r="DC55" i="2" s="1"/>
  <c r="DC40" i="2"/>
  <c r="DC42" i="2" s="1"/>
  <c r="DC43" i="2" s="1"/>
  <c r="DE40" i="2"/>
  <c r="DE42" i="2" s="1"/>
  <c r="DE43" i="2" s="1"/>
  <c r="CU40" i="2"/>
  <c r="CU42" i="2" s="1"/>
  <c r="CU43" i="2" s="1"/>
  <c r="CS40" i="2"/>
  <c r="CS42" i="2" s="1"/>
  <c r="CS43" i="2" s="1"/>
  <c r="CS52" i="2"/>
  <c r="CS54" i="2" s="1"/>
  <c r="CS55" i="2" s="1"/>
  <c r="CU52" i="2"/>
  <c r="CU54" i="2" s="1"/>
  <c r="CU55" i="2" s="1"/>
  <c r="CI40" i="2"/>
  <c r="CI42" i="2" s="1"/>
  <c r="CI43" i="2" s="1"/>
  <c r="CK40" i="2"/>
  <c r="CK42" i="2" s="1"/>
  <c r="CK43" i="2" s="1"/>
  <c r="CI52" i="2"/>
  <c r="CI54" i="2" s="1"/>
  <c r="CI55" i="2" s="1"/>
  <c r="CK52" i="2"/>
  <c r="CK54" i="2" s="1"/>
  <c r="CK55" i="2" s="1"/>
  <c r="BY40" i="2"/>
  <c r="BY42" i="2" s="1"/>
  <c r="BY43" i="2" s="1"/>
  <c r="CA40" i="2"/>
  <c r="CA42" i="2" s="1"/>
  <c r="CA43" i="2" s="1"/>
  <c r="BY52" i="2"/>
  <c r="BY54" i="2" s="1"/>
  <c r="BY55" i="2" s="1"/>
  <c r="CA52" i="2"/>
  <c r="CA54" i="2" s="1"/>
  <c r="CA55" i="2" s="1"/>
  <c r="BQ40" i="2"/>
  <c r="BQ42" i="2" s="1"/>
  <c r="BQ43" i="2" s="1"/>
  <c r="BO40" i="2"/>
  <c r="BO42" i="2" s="1"/>
  <c r="BO43" i="2" s="1"/>
  <c r="BQ52" i="2"/>
  <c r="BQ54" i="2" s="1"/>
  <c r="BQ55" i="2" s="1"/>
  <c r="BO52" i="2"/>
  <c r="BO54" i="2" s="1"/>
  <c r="BO55" i="2" s="1"/>
  <c r="BG52" i="2"/>
  <c r="BG54" i="2" s="1"/>
  <c r="BG55" i="2" s="1"/>
  <c r="BE52" i="2"/>
  <c r="BE54" i="2" s="1"/>
  <c r="BE55" i="2" s="1"/>
  <c r="BE40" i="2"/>
  <c r="BE42" i="2" s="1"/>
  <c r="BE43" i="2" s="1"/>
  <c r="BG40" i="2"/>
  <c r="BG42" i="2" s="1"/>
  <c r="BG43" i="2" s="1"/>
  <c r="AU40" i="2"/>
  <c r="AU42" i="2" s="1"/>
  <c r="AU43" i="2" s="1"/>
  <c r="AW40" i="2"/>
  <c r="AW42" i="2" s="1"/>
  <c r="AW43" i="2" s="1"/>
  <c r="AW52" i="2"/>
  <c r="AW54" i="2" s="1"/>
  <c r="AW55" i="2" s="1"/>
  <c r="AU52" i="2"/>
  <c r="AU54" i="2" s="1"/>
  <c r="AU55" i="2" s="1"/>
  <c r="AM40" i="2"/>
  <c r="AM42" i="2" s="1"/>
  <c r="AM43" i="2" s="1"/>
  <c r="AK40" i="2"/>
  <c r="AK42" i="2" s="1"/>
  <c r="AK43" i="2" s="1"/>
  <c r="AK52" i="2"/>
  <c r="AK54" i="2" s="1"/>
  <c r="AK55" i="2" s="1"/>
  <c r="AM52" i="2"/>
  <c r="AM54" i="2" s="1"/>
  <c r="AM55" i="2" s="1"/>
  <c r="AA52" i="2"/>
  <c r="AA54" i="2" s="1"/>
  <c r="AA55" i="2" s="1"/>
  <c r="AC52" i="2"/>
  <c r="AC54" i="2" s="1"/>
  <c r="AC55" i="2" s="1"/>
  <c r="AA40" i="2"/>
  <c r="AA42" i="2" s="1"/>
  <c r="AA43" i="2" s="1"/>
  <c r="AC40" i="2"/>
  <c r="AC42" i="2" s="1"/>
  <c r="AC43" i="2" s="1"/>
  <c r="S52" i="2"/>
  <c r="S54" i="2" s="1"/>
  <c r="S55" i="2" s="1"/>
  <c r="Q52" i="2"/>
  <c r="Q54" i="2" s="1"/>
  <c r="Q55" i="2" s="1"/>
  <c r="Q40" i="2"/>
  <c r="Q42" i="2" s="1"/>
  <c r="Q43" i="2" s="1"/>
  <c r="S40" i="2"/>
  <c r="S42" i="2" s="1"/>
  <c r="S43" i="2" s="1"/>
  <c r="Y32" i="2"/>
  <c r="Y39" i="2" s="1"/>
  <c r="O32" i="2"/>
  <c r="O33" i="2" s="1"/>
  <c r="V50" i="2"/>
  <c r="Y52" i="2"/>
  <c r="CN50" i="2"/>
  <c r="CQ52" i="2"/>
  <c r="CX50" i="2"/>
  <c r="DA52" i="2"/>
  <c r="BJ50" i="2"/>
  <c r="BM52" i="2"/>
  <c r="DH50" i="2"/>
  <c r="DK52" i="2"/>
  <c r="AP50" i="2"/>
  <c r="AS52" i="2"/>
  <c r="AZ50" i="2"/>
  <c r="BC52" i="2"/>
  <c r="DR50" i="2"/>
  <c r="DU52" i="2"/>
  <c r="CD50" i="2"/>
  <c r="CG52" i="2"/>
  <c r="O52" i="2"/>
  <c r="AF50" i="2"/>
  <c r="AI52" i="2"/>
  <c r="EB50" i="2"/>
  <c r="EE52" i="2"/>
  <c r="BT50" i="2"/>
  <c r="BW52" i="2"/>
  <c r="CQ32" i="2"/>
  <c r="DR38" i="2"/>
  <c r="DU40" i="2"/>
  <c r="V38" i="2"/>
  <c r="Y40" i="2"/>
  <c r="DH38" i="2"/>
  <c r="DK40" i="2"/>
  <c r="AP38" i="2"/>
  <c r="AS40" i="2"/>
  <c r="AZ38" i="2"/>
  <c r="BC40" i="2"/>
  <c r="CN38" i="2"/>
  <c r="CQ40" i="2"/>
  <c r="AS32" i="2"/>
  <c r="BM32" i="2"/>
  <c r="AF38" i="2"/>
  <c r="AI40" i="2"/>
  <c r="EB38" i="2"/>
  <c r="EE40" i="2"/>
  <c r="BT38" i="2"/>
  <c r="BW40" i="2"/>
  <c r="O40" i="2"/>
  <c r="CX38" i="2"/>
  <c r="DA40" i="2"/>
  <c r="CD38" i="2"/>
  <c r="CG40" i="2"/>
  <c r="BJ38" i="2"/>
  <c r="BM40" i="2"/>
  <c r="DA32" i="2"/>
  <c r="BC32" i="2"/>
  <c r="BW32" i="2"/>
  <c r="EE32" i="2"/>
  <c r="AI32" i="2"/>
  <c r="DU32" i="2"/>
  <c r="CG32" i="2"/>
  <c r="DK32" i="2"/>
  <c r="L50" i="2"/>
  <c r="L38" i="2"/>
  <c r="I49" i="2"/>
  <c r="I50" i="2" s="1"/>
  <c r="I37" i="2"/>
  <c r="I38" i="2" s="1"/>
  <c r="B48" i="2"/>
  <c r="G52" i="2" s="1"/>
  <c r="G54" i="2" s="1"/>
  <c r="G55" i="2" s="1"/>
  <c r="B36" i="2"/>
  <c r="G40" i="2" s="1"/>
  <c r="G42" i="2" s="1"/>
  <c r="G43" i="2" s="1"/>
  <c r="I27" i="2"/>
  <c r="I28" i="2" s="1"/>
  <c r="I20" i="2"/>
  <c r="I17" i="2"/>
  <c r="I18" i="2" s="1"/>
  <c r="I30" i="2"/>
  <c r="E10" i="2"/>
  <c r="E11" i="2"/>
  <c r="B18" i="2"/>
  <c r="Y33" i="2" l="1"/>
  <c r="O39" i="2"/>
  <c r="O42" i="2" s="1"/>
  <c r="O43" i="2" s="1"/>
  <c r="I52" i="2"/>
  <c r="I54" i="2" s="1"/>
  <c r="CQ33" i="2"/>
  <c r="G34" i="4" s="1"/>
  <c r="CQ39" i="2"/>
  <c r="CQ42" i="2" s="1"/>
  <c r="I40" i="2"/>
  <c r="I42" i="2" s="1"/>
  <c r="DK33" i="2"/>
  <c r="DK39" i="2"/>
  <c r="DK42" i="2" s="1"/>
  <c r="AS33" i="2"/>
  <c r="AS39" i="2"/>
  <c r="AS42" i="2" s="1"/>
  <c r="BC33" i="2"/>
  <c r="BC39" i="2"/>
  <c r="BC42" i="2" s="1"/>
  <c r="BM33" i="2"/>
  <c r="BM39" i="2"/>
  <c r="BM42" i="2" s="1"/>
  <c r="DA33" i="2"/>
  <c r="DA39" i="2"/>
  <c r="DA42" i="2" s="1"/>
  <c r="CG33" i="2"/>
  <c r="CG39" i="2"/>
  <c r="CG42" i="2" s="1"/>
  <c r="EE33" i="2"/>
  <c r="EE39" i="2"/>
  <c r="EE42" i="2" s="1"/>
  <c r="Y42" i="2"/>
  <c r="DU33" i="2"/>
  <c r="DU39" i="2"/>
  <c r="DU42" i="2" s="1"/>
  <c r="AI33" i="2"/>
  <c r="AI39" i="2"/>
  <c r="AI42" i="2" s="1"/>
  <c r="BW33" i="2"/>
  <c r="BW39" i="2"/>
  <c r="BW42" i="2" s="1"/>
  <c r="E13" i="2"/>
  <c r="E40" i="2" s="1"/>
  <c r="B50" i="2"/>
  <c r="B38" i="2"/>
  <c r="I22" i="2"/>
  <c r="B3" i="2"/>
  <c r="I55" i="2" l="1"/>
  <c r="O51" i="2"/>
  <c r="O54" i="2" s="1"/>
  <c r="O55" i="2" s="1"/>
  <c r="Y43" i="2"/>
  <c r="Y51" i="2"/>
  <c r="Y54" i="2" s="1"/>
  <c r="Y55" i="2" s="1"/>
  <c r="BC43" i="2"/>
  <c r="BC51" i="2"/>
  <c r="BC54" i="2" s="1"/>
  <c r="BC55" i="2" s="1"/>
  <c r="E52" i="2"/>
  <c r="CQ43" i="2"/>
  <c r="I34" i="4" s="1"/>
  <c r="CQ51" i="2"/>
  <c r="CQ54" i="2" s="1"/>
  <c r="CQ55" i="2" s="1"/>
  <c r="J34" i="4" s="1"/>
  <c r="EE43" i="2"/>
  <c r="EE51" i="2"/>
  <c r="EE54" i="2" s="1"/>
  <c r="EE55" i="2" s="1"/>
  <c r="CG43" i="2"/>
  <c r="CG51" i="2"/>
  <c r="CG54" i="2" s="1"/>
  <c r="CG55" i="2" s="1"/>
  <c r="AI43" i="2"/>
  <c r="AI51" i="2"/>
  <c r="AI54" i="2" s="1"/>
  <c r="AI55" i="2" s="1"/>
  <c r="DK43" i="2"/>
  <c r="DK51" i="2"/>
  <c r="DK54" i="2" s="1"/>
  <c r="DK55" i="2" s="1"/>
  <c r="DU43" i="2"/>
  <c r="DU51" i="2"/>
  <c r="DU54" i="2" s="1"/>
  <c r="DU55" i="2" s="1"/>
  <c r="BW43" i="2"/>
  <c r="BW51" i="2"/>
  <c r="BW54" i="2" s="1"/>
  <c r="BW55" i="2" s="1"/>
  <c r="AS43" i="2"/>
  <c r="AS51" i="2"/>
  <c r="AS54" i="2" s="1"/>
  <c r="AS55" i="2" s="1"/>
  <c r="DA43" i="2"/>
  <c r="DA51" i="2"/>
  <c r="DA54" i="2" s="1"/>
  <c r="DA55" i="2" s="1"/>
  <c r="BM43" i="2"/>
  <c r="BM51" i="2"/>
  <c r="BM54" i="2" s="1"/>
  <c r="BM55" i="2" s="1"/>
  <c r="I43" i="2"/>
  <c r="I32" i="2"/>
  <c r="I33" i="2" s="1"/>
  <c r="E37" i="2"/>
  <c r="E38" i="2" s="1"/>
  <c r="E49" i="2"/>
  <c r="E50" i="2" s="1"/>
  <c r="E17" i="2"/>
  <c r="E18" i="2" s="1"/>
  <c r="E27" i="2"/>
  <c r="E28" i="2" s="1"/>
  <c r="E20" i="2"/>
  <c r="E30" i="2"/>
  <c r="E22" i="2" l="1"/>
  <c r="E29" i="2" l="1"/>
  <c r="E32" i="2" s="1"/>
  <c r="E33" i="2" l="1"/>
  <c r="G31" i="4" s="1"/>
  <c r="E39" i="2"/>
  <c r="E42" i="2" s="1"/>
  <c r="E43" i="2" l="1"/>
  <c r="I31" i="4" s="1"/>
  <c r="E51" i="2"/>
  <c r="E54" i="2" s="1"/>
  <c r="E55" i="2" s="1"/>
  <c r="J31" i="4" s="1"/>
</calcChain>
</file>

<file path=xl/sharedStrings.xml><?xml version="1.0" encoding="utf-8"?>
<sst xmlns="http://schemas.openxmlformats.org/spreadsheetml/2006/main" count="774" uniqueCount="83">
  <si>
    <t>Monthly</t>
  </si>
  <si>
    <t>Annually</t>
  </si>
  <si>
    <t>Gross AV</t>
  </si>
  <si>
    <t>Homestead</t>
  </si>
  <si>
    <t>Tax Rate Change</t>
  </si>
  <si>
    <t>GAV</t>
  </si>
  <si>
    <t>Stan Deduction</t>
  </si>
  <si>
    <t>35% deduction</t>
  </si>
  <si>
    <t>25% deduction</t>
  </si>
  <si>
    <t>Net AV</t>
  </si>
  <si>
    <t>Total Tax Rate</t>
  </si>
  <si>
    <t>Exempt Tax Rate</t>
  </si>
  <si>
    <t>Circuit Breaker Max</t>
  </si>
  <si>
    <t>Gross Tax</t>
  </si>
  <si>
    <t>Non Exempt</t>
  </si>
  <si>
    <t>Exempt Tax</t>
  </si>
  <si>
    <t>Cap</t>
  </si>
  <si>
    <t>Act Tax</t>
  </si>
  <si>
    <t>Change</t>
  </si>
  <si>
    <t>2.</t>
  </si>
  <si>
    <t>Existing</t>
  </si>
  <si>
    <t>With Referenda</t>
  </si>
  <si>
    <t>Notes:</t>
  </si>
  <si>
    <t>Homestead parcels are assumed to have homestead, supplemental homestead and mortgage deductions.</t>
  </si>
  <si>
    <t>3.</t>
  </si>
  <si>
    <t>4.</t>
  </si>
  <si>
    <t>5.</t>
  </si>
  <si>
    <t>(yes or no)</t>
  </si>
  <si>
    <t>Real property assessments are adjusted annually due to changes in market conditions.  The referenda liability will change in relation to changes in parcel gross assessed values.</t>
  </si>
  <si>
    <t>Current Rate (2018)</t>
  </si>
  <si>
    <t>Homestead 1%</t>
  </si>
  <si>
    <t xml:space="preserve">Construction </t>
  </si>
  <si>
    <t>Enter Gross Assessed Value</t>
  </si>
  <si>
    <t>Construction Referenda</t>
  </si>
  <si>
    <t xml:space="preserve">How to find your Gross Assessed Value: </t>
  </si>
  <si>
    <t xml:space="preserve">2. Refer to your most recent Annual Tax Statement from the County Treasurer. Table 1: Line 1a, 1b or 1c.  </t>
  </si>
  <si>
    <t>The total tax rate includes tax rates of other taxing districts in addition to the Town.  The referenda liability will change in relation to changes with other overlapping and underlying tax district changes.</t>
  </si>
  <si>
    <t>2019 Capital Referendum</t>
  </si>
  <si>
    <t>Estimated Impact of the Proposed School's Construction Referenda</t>
  </si>
  <si>
    <t>Taxing District</t>
  </si>
  <si>
    <t>Union Township</t>
  </si>
  <si>
    <t>Select Your Taxing District (Only Select One)</t>
  </si>
  <si>
    <t>Current Rate (2019)</t>
  </si>
  <si>
    <t>2019 Debt Service Tax Rate</t>
  </si>
  <si>
    <t>Yes</t>
  </si>
  <si>
    <t xml:space="preserve">Estimated 2020 Debt Service Tax Rate </t>
  </si>
  <si>
    <t xml:space="preserve">Estimated 2020 Construction Referenda Tax Rate </t>
  </si>
  <si>
    <t>Fairfield Township</t>
  </si>
  <si>
    <t>Grant Township</t>
  </si>
  <si>
    <t>Jackson Township</t>
  </si>
  <si>
    <t>Smithfield Township</t>
  </si>
  <si>
    <t>Richland Township</t>
  </si>
  <si>
    <t>Town of Ashley</t>
  </si>
  <si>
    <t>City of Auburn - Grant Twp</t>
  </si>
  <si>
    <t>City of Auburn - Jackson Twp</t>
  </si>
  <si>
    <t>City of Auburn - Union Twp</t>
  </si>
  <si>
    <t>Town of Corunna</t>
  </si>
  <si>
    <t>Town of Waterloo - Grant Twp</t>
  </si>
  <si>
    <t>Town of Waterloo - Smithfield Twp</t>
  </si>
  <si>
    <t>Town of Ashley - Steuben County</t>
  </si>
  <si>
    <t xml:space="preserve">This results of this calculator will differ from the calculator found on the Indiana Department of Local Government Finance's ("DLGF") web page.  The DLGF's calculator will only present the maximum ballot rate of $0.3391 (Construction), without accounting for the roll off of non-exempt debt or growth in assessed value. </t>
  </si>
  <si>
    <t>Estimated Net change from 2019 to 2020 due To Construction Referenda</t>
  </si>
  <si>
    <t>No</t>
  </si>
  <si>
    <t>Do you qualify for the 65 or over deduction?</t>
  </si>
  <si>
    <t>Proposed Maximum Construction Referenda Tax Rate To Be Seen On The Ballot  (2025)</t>
  </si>
  <si>
    <t>For simplicity, local income tax property tax credits have NOT been included in the tax calculator estimate and your actual tax bill may be less than what is estimated in the calculator.</t>
  </si>
  <si>
    <t>Estimated annual change between 2019 and 2022 property taxes due to proposed Construction Referenda.</t>
  </si>
  <si>
    <t>Do you qualify for the 65 or over circuit breaker credit?</t>
  </si>
  <si>
    <t>65 or Over Deduction</t>
  </si>
  <si>
    <t>65 or Over CB Credit</t>
  </si>
  <si>
    <t>65 or over CB Credit</t>
  </si>
  <si>
    <t>% Cap</t>
  </si>
  <si>
    <t>65 cap</t>
  </si>
  <si>
    <t>What type of property is this?</t>
  </si>
  <si>
    <t>Type of Property</t>
  </si>
  <si>
    <t>(1%) Homestead</t>
  </si>
  <si>
    <t>(2%) Agriculture, LTC Facility, Non-Homestead Residential</t>
  </si>
  <si>
    <t>(3%) Nonresidential and Personal Property</t>
  </si>
  <si>
    <t>No Homestead 2%</t>
  </si>
  <si>
    <t>No Homestead 3%</t>
  </si>
  <si>
    <t>DeKalb County Central United School District</t>
  </si>
  <si>
    <t>DeKalb County</t>
  </si>
  <si>
    <t>1. Visit the DeKalb County Assessor's website and look for your Property Record Card.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</si>
</sst>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_(&quot;$&quot;* #,##0.0000_);_(&quot;$&quot;* \(#,##0.0000\);_(&quot;$&quot;* &quot;-&quot;??_);_(@_)"/>
    <numFmt numFmtId="166" formatCode="_(* #,##0.0000_);_(* \(#,##0.0000\);_(* &quot;-&quot;??_);_(@_)"/>
    <numFmt numFmtId="167" formatCode="_(&quot;$&quot;* #,##0.0000_);_(&quot;$&quot;* \(#,##0.0000\);_(&quot;$&quot;* &quot;-&quot;????_);_(@_)"/>
    <numFmt numFmtId="168" formatCode="_(* #,##0_);_(* \(#,##0\);_(* &quot;-&quot;??_);_(@_)"/>
  </numFmts>
  <fonts count="16" x14ac:knownFonts="1">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b/>
      <sz val="14"/>
      <name val="Calibri"/>
      <family val="2"/>
      <scheme val="minor"/>
    </font>
    <font>
      <b/>
      <sz val="14"/>
      <color theme="0" tint="-0.499984740745262"/>
      <name val="Calibri"/>
      <family val="2"/>
      <scheme val="minor"/>
    </font>
    <font>
      <sz val="9"/>
      <name val="Calibri"/>
      <family val="2"/>
      <scheme val="minor"/>
    </font>
    <font>
      <b/>
      <sz val="12"/>
      <color theme="1"/>
      <name val="Calibri"/>
      <family val="2"/>
      <scheme val="minor"/>
    </font>
    <font>
      <b/>
      <sz val="16"/>
      <color theme="1"/>
      <name val="Calibri"/>
      <family val="2"/>
      <scheme val="minor"/>
    </font>
    <font>
      <u val="singleAccounting"/>
      <sz val="11"/>
      <color theme="1"/>
      <name val="Calibri"/>
      <family val="2"/>
      <scheme val="minor"/>
    </font>
    <font>
      <u/>
      <sz val="11"/>
      <color theme="10"/>
      <name val="Calibri"/>
      <family val="2"/>
      <scheme val="minor"/>
    </font>
    <font>
      <sz val="8"/>
      <color rgb="FF000000"/>
      <name val="Tahoma"/>
      <family val="2"/>
    </font>
    <font>
      <b/>
      <sz val="11"/>
      <color theme="0"/>
      <name val="Calibri"/>
      <family val="2"/>
      <scheme val="minor"/>
    </font>
    <font>
      <sz val="12"/>
      <name val="Calibri"/>
      <family val="2"/>
      <scheme val="minor"/>
    </font>
    <font>
      <sz val="12"/>
      <color theme="1"/>
      <name val="Calibri"/>
      <family val="2"/>
      <scheme val="minor"/>
    </font>
    <font>
      <u/>
      <sz val="11"/>
      <color theme="1"/>
      <name val="Calibri"/>
      <family val="2"/>
      <scheme val="minor"/>
    </font>
  </fonts>
  <fills count="14">
    <fill>
      <patternFill patternType="none"/>
    </fill>
    <fill>
      <patternFill patternType="gray125"/>
    </fill>
    <fill>
      <patternFill patternType="solid">
        <fgColor theme="7"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bgColor indexed="64"/>
      </patternFill>
    </fill>
    <fill>
      <patternFill patternType="solid">
        <fgColor theme="6"/>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6" tint="-0.249977111117893"/>
        <bgColor indexed="64"/>
      </patternFill>
    </fill>
    <fill>
      <patternFill patternType="solid">
        <fgColor theme="0" tint="-0.499984740745262"/>
        <bgColor indexed="64"/>
      </patternFill>
    </fill>
    <fill>
      <patternFill patternType="solid">
        <fgColor theme="1" tint="4.9989318521683403E-2"/>
        <bgColor indexed="64"/>
      </patternFill>
    </fill>
  </fills>
  <borders count="12">
    <border>
      <left/>
      <right/>
      <top/>
      <bottom/>
      <diagonal/>
    </border>
    <border>
      <left/>
      <right/>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0" fontId="10" fillId="0" borderId="0" applyNumberFormat="0" applyFill="0" applyBorder="0" applyAlignment="0" applyProtection="0"/>
  </cellStyleXfs>
  <cellXfs count="139">
    <xf numFmtId="0" fontId="0" fillId="0" borderId="0" xfId="0"/>
    <xf numFmtId="0" fontId="3" fillId="2" borderId="0" xfId="0" applyFont="1" applyFill="1" applyBorder="1"/>
    <xf numFmtId="41" fontId="0" fillId="0" borderId="0" xfId="0" applyNumberFormat="1"/>
    <xf numFmtId="164" fontId="0" fillId="0" borderId="0" xfId="0" applyNumberFormat="1"/>
    <xf numFmtId="41" fontId="0" fillId="4" borderId="0" xfId="0" applyNumberFormat="1" applyFill="1"/>
    <xf numFmtId="41" fontId="9" fillId="4" borderId="0" xfId="0" applyNumberFormat="1" applyFont="1" applyFill="1"/>
    <xf numFmtId="0" fontId="0" fillId="4" borderId="0" xfId="0" applyFill="1"/>
    <xf numFmtId="4" fontId="4" fillId="2" borderId="0" xfId="1" applyNumberFormat="1" applyFont="1" applyFill="1" applyBorder="1" applyAlignment="1">
      <alignment horizontal="right"/>
    </xf>
    <xf numFmtId="0" fontId="0" fillId="0" borderId="0" xfId="0" applyAlignment="1">
      <alignment horizontal="left"/>
    </xf>
    <xf numFmtId="0" fontId="0" fillId="0" borderId="0" xfId="0" quotePrefix="1" applyAlignment="1">
      <alignment horizontal="left" vertical="top"/>
    </xf>
    <xf numFmtId="43" fontId="0" fillId="0" borderId="0" xfId="0" applyNumberFormat="1"/>
    <xf numFmtId="0" fontId="3" fillId="2" borderId="0" xfId="0" applyFont="1" applyFill="1" applyBorder="1" applyAlignment="1">
      <alignment horizontal="left" wrapText="1"/>
    </xf>
    <xf numFmtId="0" fontId="0" fillId="0" borderId="0" xfId="0" applyFill="1"/>
    <xf numFmtId="0" fontId="0" fillId="2" borderId="0" xfId="0" applyFill="1" applyBorder="1"/>
    <xf numFmtId="0" fontId="0" fillId="0" borderId="0" xfId="0" applyFill="1" applyBorder="1"/>
    <xf numFmtId="0" fontId="3" fillId="2" borderId="2" xfId="0" applyFont="1" applyFill="1" applyBorder="1"/>
    <xf numFmtId="0" fontId="3" fillId="2" borderId="3" xfId="0" applyFont="1" applyFill="1" applyBorder="1"/>
    <xf numFmtId="0" fontId="3" fillId="2" borderId="4" xfId="0" applyFont="1" applyFill="1" applyBorder="1"/>
    <xf numFmtId="0" fontId="3" fillId="2" borderId="5" xfId="0" applyFont="1" applyFill="1" applyBorder="1"/>
    <xf numFmtId="0" fontId="3" fillId="2" borderId="6" xfId="0" applyFont="1" applyFill="1" applyBorder="1"/>
    <xf numFmtId="0" fontId="3" fillId="2" borderId="7" xfId="0" applyFont="1" applyFill="1" applyBorder="1"/>
    <xf numFmtId="0" fontId="3" fillId="2" borderId="1" xfId="0" applyFont="1" applyFill="1" applyBorder="1"/>
    <xf numFmtId="0" fontId="3" fillId="2" borderId="8" xfId="0" applyFont="1" applyFill="1" applyBorder="1"/>
    <xf numFmtId="0" fontId="3" fillId="2" borderId="6" xfId="0" applyFont="1" applyFill="1" applyBorder="1" applyAlignment="1">
      <alignment horizontal="left" wrapText="1"/>
    </xf>
    <xf numFmtId="0" fontId="0" fillId="0" borderId="1" xfId="0" applyBorder="1"/>
    <xf numFmtId="0" fontId="0" fillId="3" borderId="0" xfId="0" applyFill="1" applyBorder="1"/>
    <xf numFmtId="0" fontId="0" fillId="3" borderId="6" xfId="0" applyFill="1" applyBorder="1"/>
    <xf numFmtId="0" fontId="3" fillId="3" borderId="0" xfId="0" applyFont="1" applyFill="1" applyBorder="1"/>
    <xf numFmtId="0" fontId="0" fillId="3" borderId="0" xfId="0" applyFill="1"/>
    <xf numFmtId="0" fontId="0" fillId="3" borderId="0" xfId="0" applyFont="1" applyFill="1" applyAlignment="1">
      <alignment horizontal="center"/>
    </xf>
    <xf numFmtId="0" fontId="0" fillId="3" borderId="0" xfId="0" applyFill="1" applyBorder="1" applyAlignment="1">
      <alignment horizontal="left" vertical="top" wrapText="1"/>
    </xf>
    <xf numFmtId="0" fontId="0" fillId="3" borderId="0" xfId="0" applyFill="1"/>
    <xf numFmtId="166" fontId="9" fillId="3" borderId="0" xfId="1" applyNumberFormat="1" applyFont="1" applyFill="1" applyAlignment="1">
      <alignment horizontal="center"/>
    </xf>
    <xf numFmtId="0" fontId="7" fillId="3" borderId="0" xfId="0" applyFont="1" applyFill="1" applyAlignment="1">
      <alignment horizontal="left"/>
    </xf>
    <xf numFmtId="0" fontId="0" fillId="3" borderId="0" xfId="0" quotePrefix="1" applyFill="1" applyAlignment="1">
      <alignment horizontal="left" vertical="top"/>
    </xf>
    <xf numFmtId="0" fontId="2" fillId="3" borderId="9" xfId="0" applyFont="1" applyFill="1" applyBorder="1"/>
    <xf numFmtId="0" fontId="2" fillId="3" borderId="10" xfId="0" applyFont="1" applyFill="1" applyBorder="1"/>
    <xf numFmtId="167" fontId="0" fillId="3" borderId="0" xfId="2" applyNumberFormat="1" applyFont="1" applyFill="1" applyBorder="1"/>
    <xf numFmtId="167" fontId="0" fillId="3" borderId="6" xfId="2" applyNumberFormat="1" applyFont="1" applyFill="1" applyBorder="1" applyAlignment="1">
      <alignment horizontal="center"/>
    </xf>
    <xf numFmtId="167" fontId="1" fillId="3" borderId="8" xfId="1" applyNumberFormat="1" applyFont="1" applyFill="1" applyBorder="1" applyAlignment="1">
      <alignment horizontal="center"/>
    </xf>
    <xf numFmtId="167" fontId="0" fillId="3" borderId="6" xfId="0" applyNumberFormat="1" applyFill="1" applyBorder="1"/>
    <xf numFmtId="41" fontId="0" fillId="0" borderId="0" xfId="0" applyNumberFormat="1" applyAlignment="1">
      <alignment horizontal="right"/>
    </xf>
    <xf numFmtId="41" fontId="0" fillId="0" borderId="1" xfId="0" applyNumberFormat="1" applyBorder="1" applyAlignment="1">
      <alignment horizontal="right"/>
    </xf>
    <xf numFmtId="167" fontId="0" fillId="0" borderId="0" xfId="0" applyNumberFormat="1" applyFill="1"/>
    <xf numFmtId="0" fontId="0" fillId="3" borderId="0" xfId="0" applyFont="1" applyFill="1" applyAlignment="1">
      <alignment wrapText="1"/>
    </xf>
    <xf numFmtId="0" fontId="0" fillId="3" borderId="0" xfId="0" applyFont="1" applyFill="1"/>
    <xf numFmtId="0" fontId="0" fillId="0" borderId="0" xfId="0" applyFont="1"/>
    <xf numFmtId="0" fontId="0" fillId="0" borderId="3" xfId="0" applyBorder="1" applyAlignment="1">
      <alignment wrapText="1"/>
    </xf>
    <xf numFmtId="0" fontId="2" fillId="0" borderId="3" xfId="0" applyFont="1" applyBorder="1" applyAlignment="1">
      <alignment wrapText="1"/>
    </xf>
    <xf numFmtId="0" fontId="0" fillId="0" borderId="0" xfId="0" applyAlignment="1">
      <alignment wrapText="1"/>
    </xf>
    <xf numFmtId="0" fontId="2" fillId="0" borderId="0" xfId="0" applyFont="1"/>
    <xf numFmtId="168" fontId="0" fillId="0" borderId="0" xfId="1" applyNumberFormat="1" applyFont="1"/>
    <xf numFmtId="41" fontId="0" fillId="0" borderId="0" xfId="1" applyNumberFormat="1" applyFont="1"/>
    <xf numFmtId="41" fontId="0" fillId="0" borderId="0" xfId="0" applyNumberFormat="1" applyFill="1"/>
    <xf numFmtId="0" fontId="0" fillId="0" borderId="0" xfId="0"/>
    <xf numFmtId="0" fontId="0" fillId="0" borderId="0" xfId="0"/>
    <xf numFmtId="0" fontId="6" fillId="2" borderId="0" xfId="0" applyFont="1" applyFill="1" applyBorder="1" applyAlignment="1">
      <alignment horizontal="right"/>
    </xf>
    <xf numFmtId="0" fontId="3" fillId="2" borderId="0" xfId="0" applyFont="1" applyFill="1" applyBorder="1" applyAlignment="1">
      <alignment horizontal="right"/>
    </xf>
    <xf numFmtId="0" fontId="6" fillId="2" borderId="6" xfId="0" applyFont="1" applyFill="1" applyBorder="1" applyAlignment="1">
      <alignment horizontal="right"/>
    </xf>
    <xf numFmtId="4" fontId="4" fillId="2" borderId="6" xfId="1" applyNumberFormat="1" applyFont="1" applyFill="1" applyBorder="1" applyAlignment="1">
      <alignment horizontal="right"/>
    </xf>
    <xf numFmtId="2" fontId="4" fillId="2" borderId="6" xfId="0" applyNumberFormat="1" applyFont="1" applyFill="1" applyBorder="1" applyAlignment="1">
      <alignment horizontal="right"/>
    </xf>
    <xf numFmtId="0" fontId="13" fillId="2" borderId="5" xfId="0" applyFont="1" applyFill="1" applyBorder="1" applyAlignment="1">
      <alignment horizontal="right"/>
    </xf>
    <xf numFmtId="0" fontId="14" fillId="2" borderId="0" xfId="0" applyFont="1" applyFill="1" applyBorder="1" applyAlignment="1">
      <alignment horizontal="right"/>
    </xf>
    <xf numFmtId="41" fontId="0" fillId="4" borderId="0" xfId="0" applyNumberFormat="1" applyFont="1" applyFill="1"/>
    <xf numFmtId="41" fontId="0" fillId="0" borderId="0" xfId="0" applyNumberFormat="1" applyFont="1"/>
    <xf numFmtId="0" fontId="15" fillId="4" borderId="0" xfId="0" applyFont="1" applyFill="1"/>
    <xf numFmtId="168" fontId="1" fillId="4" borderId="1" xfId="1" applyNumberFormat="1" applyFont="1" applyFill="1" applyBorder="1"/>
    <xf numFmtId="41" fontId="0" fillId="4" borderId="1" xfId="0" applyNumberFormat="1" applyFont="1" applyFill="1" applyBorder="1"/>
    <xf numFmtId="0" fontId="2" fillId="3" borderId="0" xfId="0" applyFont="1" applyFill="1" applyBorder="1" applyAlignment="1">
      <alignment horizontal="left" vertical="top" wrapText="1"/>
    </xf>
    <xf numFmtId="0" fontId="3" fillId="2" borderId="5" xfId="0" applyFont="1" applyFill="1" applyBorder="1" applyAlignment="1">
      <alignment horizontal="center" wrapText="1"/>
    </xf>
    <xf numFmtId="0" fontId="3" fillId="2" borderId="0" xfId="0" applyFont="1" applyFill="1" applyBorder="1" applyAlignment="1">
      <alignment horizontal="center" wrapText="1"/>
    </xf>
    <xf numFmtId="0" fontId="3" fillId="2" borderId="6" xfId="0" applyFont="1" applyFill="1" applyBorder="1" applyAlignment="1">
      <alignment horizontal="center" wrapText="1"/>
    </xf>
    <xf numFmtId="0" fontId="0" fillId="3" borderId="1" xfId="0" applyFill="1" applyBorder="1" applyAlignment="1">
      <alignment horizontal="left" vertical="top" wrapText="1"/>
    </xf>
    <xf numFmtId="0" fontId="2" fillId="3" borderId="10" xfId="0" applyFont="1" applyFill="1" applyBorder="1" applyAlignment="1">
      <alignment horizontal="right"/>
    </xf>
    <xf numFmtId="0" fontId="2" fillId="3" borderId="11" xfId="0" applyFont="1" applyFill="1" applyBorder="1" applyAlignment="1">
      <alignment horizontal="right"/>
    </xf>
    <xf numFmtId="0" fontId="0" fillId="3" borderId="5" xfId="0" applyFill="1" applyBorder="1"/>
    <xf numFmtId="0" fontId="0" fillId="3" borderId="0" xfId="0" applyFill="1" applyBorder="1"/>
    <xf numFmtId="0" fontId="0" fillId="2" borderId="6" xfId="0" applyFill="1" applyBorder="1"/>
    <xf numFmtId="0" fontId="14" fillId="2" borderId="6" xfId="0" applyFont="1" applyFill="1" applyBorder="1" applyAlignment="1">
      <alignment horizontal="right"/>
    </xf>
    <xf numFmtId="0" fontId="6" fillId="2" borderId="5" xfId="0" applyFont="1" applyFill="1" applyBorder="1" applyAlignment="1">
      <alignment horizontal="right"/>
    </xf>
    <xf numFmtId="4" fontId="4" fillId="2" borderId="5" xfId="1" applyNumberFormat="1" applyFont="1" applyFill="1" applyBorder="1" applyAlignment="1">
      <alignment horizontal="right"/>
    </xf>
    <xf numFmtId="0" fontId="0" fillId="2" borderId="5" xfId="0" applyFill="1" applyBorder="1" applyAlignment="1">
      <alignment horizontal="right"/>
    </xf>
    <xf numFmtId="0" fontId="0" fillId="2" borderId="6" xfId="0" applyFill="1" applyBorder="1" applyAlignment="1">
      <alignment horizontal="right"/>
    </xf>
    <xf numFmtId="165" fontId="2" fillId="3" borderId="6" xfId="2" quotePrefix="1" applyNumberFormat="1" applyFont="1" applyFill="1" applyBorder="1" applyAlignment="1"/>
    <xf numFmtId="165" fontId="0" fillId="3" borderId="8" xfId="2" applyNumberFormat="1" applyFont="1" applyFill="1" applyBorder="1" applyAlignment="1"/>
    <xf numFmtId="44" fontId="0" fillId="3" borderId="6" xfId="2" applyFont="1" applyFill="1" applyBorder="1"/>
    <xf numFmtId="0" fontId="0" fillId="0" borderId="0" xfId="0" applyBorder="1"/>
    <xf numFmtId="41" fontId="0" fillId="0" borderId="0" xfId="0" applyNumberFormat="1" applyBorder="1" applyAlignment="1">
      <alignment horizontal="right"/>
    </xf>
    <xf numFmtId="0" fontId="2" fillId="3" borderId="0" xfId="0" applyFont="1" applyFill="1" applyBorder="1" applyAlignment="1">
      <alignment horizontal="left" vertical="top" wrapText="1"/>
    </xf>
    <xf numFmtId="0" fontId="0" fillId="3" borderId="1" xfId="0" applyFill="1" applyBorder="1" applyAlignment="1">
      <alignment vertical="top" wrapText="1"/>
    </xf>
    <xf numFmtId="0" fontId="3" fillId="2" borderId="0" xfId="0" applyFont="1" applyFill="1" applyBorder="1" applyAlignment="1">
      <alignment horizontal="center" wrapText="1"/>
    </xf>
    <xf numFmtId="0" fontId="0" fillId="3" borderId="0" xfId="0" applyFont="1" applyFill="1" applyAlignment="1">
      <alignment wrapText="1"/>
    </xf>
    <xf numFmtId="0" fontId="0" fillId="3" borderId="0" xfId="0" applyFont="1" applyFill="1" applyAlignment="1">
      <alignment horizontal="center"/>
    </xf>
    <xf numFmtId="168" fontId="0" fillId="0" borderId="0" xfId="0" applyNumberFormat="1" applyAlignment="1">
      <alignment horizontal="right"/>
    </xf>
    <xf numFmtId="0" fontId="13" fillId="2" borderId="0" xfId="0" applyFont="1" applyFill="1" applyBorder="1" applyAlignment="1">
      <alignment horizontal="right"/>
    </xf>
    <xf numFmtId="0" fontId="0" fillId="2" borderId="0" xfId="0" applyFill="1" applyBorder="1" applyAlignment="1">
      <alignment horizontal="right"/>
    </xf>
    <xf numFmtId="0" fontId="0" fillId="0" borderId="0" xfId="0" applyFill="1" applyAlignment="1">
      <alignment wrapText="1"/>
    </xf>
    <xf numFmtId="41" fontId="9" fillId="0" borderId="0" xfId="0" applyNumberFormat="1" applyFont="1" applyFill="1"/>
    <xf numFmtId="41" fontId="0" fillId="0" borderId="0" xfId="0" applyNumberFormat="1" applyFont="1" applyFill="1"/>
    <xf numFmtId="168" fontId="1" fillId="0" borderId="0" xfId="1" applyNumberFormat="1" applyFont="1" applyFill="1" applyBorder="1"/>
    <xf numFmtId="41" fontId="0" fillId="0" borderId="0" xfId="1" applyNumberFormat="1" applyFont="1" applyFill="1"/>
    <xf numFmtId="168" fontId="1" fillId="0" borderId="1" xfId="1" applyNumberFormat="1" applyFont="1" applyFill="1" applyBorder="1"/>
    <xf numFmtId="0" fontId="8" fillId="3" borderId="0" xfId="0" applyFont="1" applyFill="1" applyAlignment="1">
      <alignment horizontal="center"/>
    </xf>
    <xf numFmtId="0" fontId="0" fillId="3" borderId="0" xfId="0" applyFont="1" applyFill="1" applyAlignment="1">
      <alignment horizontal="center"/>
    </xf>
    <xf numFmtId="0" fontId="0" fillId="3" borderId="0" xfId="0" applyFont="1" applyFill="1" applyAlignment="1">
      <alignment wrapText="1"/>
    </xf>
    <xf numFmtId="0" fontId="10" fillId="0" borderId="0" xfId="3"/>
    <xf numFmtId="0" fontId="3" fillId="2" borderId="5" xfId="0" applyFont="1" applyFill="1" applyBorder="1" applyAlignment="1">
      <alignment horizontal="center" wrapText="1"/>
    </xf>
    <xf numFmtId="0" fontId="3" fillId="2" borderId="0" xfId="0" applyFont="1" applyFill="1" applyBorder="1" applyAlignment="1">
      <alignment horizontal="center" wrapText="1"/>
    </xf>
    <xf numFmtId="0" fontId="3" fillId="2" borderId="6" xfId="0" applyFont="1" applyFill="1" applyBorder="1" applyAlignment="1">
      <alignment horizontal="center" wrapText="1"/>
    </xf>
    <xf numFmtId="42" fontId="5" fillId="0" borderId="9" xfId="1" applyNumberFormat="1" applyFont="1" applyFill="1" applyBorder="1" applyAlignment="1">
      <alignment horizontal="center"/>
    </xf>
    <xf numFmtId="42" fontId="5" fillId="0" borderId="10" xfId="1" applyNumberFormat="1" applyFont="1" applyFill="1" applyBorder="1" applyAlignment="1">
      <alignment horizontal="center"/>
    </xf>
    <xf numFmtId="42" fontId="5" fillId="0" borderId="11" xfId="1" applyNumberFormat="1" applyFont="1" applyFill="1" applyBorder="1" applyAlignment="1">
      <alignment horizontal="center"/>
    </xf>
    <xf numFmtId="0" fontId="2" fillId="3" borderId="9" xfId="0" applyFont="1" applyFill="1" applyBorder="1" applyAlignment="1">
      <alignment horizontal="center" vertical="center"/>
    </xf>
    <xf numFmtId="0" fontId="2" fillId="3" borderId="10" xfId="0" applyFont="1" applyFill="1" applyBorder="1" applyAlignment="1">
      <alignment horizontal="center" vertical="center"/>
    </xf>
    <xf numFmtId="0" fontId="2" fillId="3" borderId="11" xfId="0" applyFont="1" applyFill="1" applyBorder="1" applyAlignment="1">
      <alignment horizontal="center" vertical="center"/>
    </xf>
    <xf numFmtId="0" fontId="3" fillId="2" borderId="2" xfId="0" applyFont="1" applyFill="1" applyBorder="1" applyAlignment="1">
      <alignment horizontal="center" wrapText="1"/>
    </xf>
    <xf numFmtId="0" fontId="3" fillId="2" borderId="3" xfId="0" applyFont="1" applyFill="1" applyBorder="1" applyAlignment="1">
      <alignment horizontal="center" wrapText="1"/>
    </xf>
    <xf numFmtId="0" fontId="3" fillId="2" borderId="4" xfId="0" applyFont="1" applyFill="1" applyBorder="1" applyAlignment="1">
      <alignment horizontal="center" wrapText="1"/>
    </xf>
    <xf numFmtId="3" fontId="5" fillId="2" borderId="7" xfId="1" applyNumberFormat="1" applyFont="1" applyFill="1" applyBorder="1" applyAlignment="1">
      <alignment horizontal="center"/>
    </xf>
    <xf numFmtId="3" fontId="5" fillId="2" borderId="1" xfId="1" applyNumberFormat="1" applyFont="1" applyFill="1" applyBorder="1" applyAlignment="1">
      <alignment horizontal="center"/>
    </xf>
    <xf numFmtId="3" fontId="5" fillId="2" borderId="8" xfId="1" applyNumberFormat="1" applyFont="1" applyFill="1" applyBorder="1" applyAlignment="1">
      <alignment horizontal="center"/>
    </xf>
    <xf numFmtId="0" fontId="3" fillId="2" borderId="5" xfId="0" applyFont="1" applyFill="1" applyBorder="1" applyAlignment="1">
      <alignment horizontal="center"/>
    </xf>
    <xf numFmtId="0" fontId="3" fillId="2" borderId="6" xfId="0" applyFont="1" applyFill="1" applyBorder="1" applyAlignment="1">
      <alignment horizontal="center"/>
    </xf>
    <xf numFmtId="0" fontId="2" fillId="3" borderId="5" xfId="0" applyFont="1" applyFill="1" applyBorder="1" applyAlignment="1">
      <alignment horizontal="left" vertical="top" wrapText="1"/>
    </xf>
    <xf numFmtId="0" fontId="2" fillId="3" borderId="0" xfId="0" applyFont="1" applyFill="1" applyBorder="1" applyAlignment="1">
      <alignment horizontal="left" vertical="top" wrapText="1"/>
    </xf>
    <xf numFmtId="0" fontId="0" fillId="3" borderId="7" xfId="0" applyFill="1" applyBorder="1" applyAlignment="1">
      <alignment vertical="top" wrapText="1"/>
    </xf>
    <xf numFmtId="0" fontId="0" fillId="3" borderId="1" xfId="0" applyFill="1" applyBorder="1" applyAlignment="1">
      <alignment vertical="top" wrapText="1"/>
    </xf>
    <xf numFmtId="0" fontId="0" fillId="3" borderId="0" xfId="0" applyFill="1" applyAlignment="1">
      <alignment horizontal="justify" vertical="top" wrapText="1"/>
    </xf>
    <xf numFmtId="0" fontId="12" fillId="5" borderId="1" xfId="0" applyFont="1" applyFill="1" applyBorder="1" applyAlignment="1">
      <alignment horizontal="center"/>
    </xf>
    <xf numFmtId="0" fontId="12" fillId="6" borderId="1" xfId="0" applyFont="1" applyFill="1" applyBorder="1" applyAlignment="1">
      <alignment horizontal="center"/>
    </xf>
    <xf numFmtId="0" fontId="12" fillId="7" borderId="1" xfId="0" applyFont="1" applyFill="1" applyBorder="1" applyAlignment="1">
      <alignment horizontal="center"/>
    </xf>
    <xf numFmtId="0" fontId="12" fillId="8" borderId="0" xfId="0" applyFont="1" applyFill="1" applyAlignment="1">
      <alignment horizontal="center"/>
    </xf>
    <xf numFmtId="0" fontId="12" fillId="11" borderId="0" xfId="0" applyFont="1" applyFill="1" applyAlignment="1">
      <alignment horizontal="center"/>
    </xf>
    <xf numFmtId="0" fontId="12" fillId="7" borderId="0" xfId="0" applyFont="1" applyFill="1" applyAlignment="1">
      <alignment horizontal="center"/>
    </xf>
    <xf numFmtId="0" fontId="12" fillId="10" borderId="0" xfId="0" applyFont="1" applyFill="1" applyAlignment="1">
      <alignment horizontal="center"/>
    </xf>
    <xf numFmtId="0" fontId="12" fillId="9" borderId="0" xfId="0" applyFont="1" applyFill="1" applyAlignment="1">
      <alignment horizontal="center"/>
    </xf>
    <xf numFmtId="0" fontId="12" fillId="13" borderId="0" xfId="0" applyFont="1" applyFill="1" applyAlignment="1">
      <alignment horizontal="center"/>
    </xf>
    <xf numFmtId="0" fontId="12" fillId="12" borderId="0" xfId="0" applyFont="1" applyFill="1" applyAlignment="1">
      <alignment horizontal="center"/>
    </xf>
    <xf numFmtId="0" fontId="12" fillId="6" borderId="0" xfId="0" applyFont="1" applyFill="1" applyAlignment="1">
      <alignment horizontal="center"/>
    </xf>
  </cellXfs>
  <cellStyles count="4">
    <cellStyle name="Comma" xfId="1" builtinId="3"/>
    <cellStyle name="Currency" xfId="2" builtinId="4"/>
    <cellStyle name="Hyperlink" xfId="3"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fmlaLink="'Backup Info'!$B$4" lockText="1" noThreeD="1"/>
</file>

<file path=xl/ctrlProps/ctrlProp2.xml><?xml version="1.0" encoding="utf-8"?>
<formControlPr xmlns="http://schemas.microsoft.com/office/spreadsheetml/2009/9/main" objectType="CheckBox" fmlaLink="'Backup Info'!$L$4" lockText="1" noThreeD="1"/>
</file>

<file path=xl/ctrlProps/ctrlProp3.xml><?xml version="1.0" encoding="utf-8"?>
<formControlPr xmlns="http://schemas.microsoft.com/office/spreadsheetml/2009/9/main" objectType="CheckBox" fmlaLink="'Backup Info'!$V$4" lockText="1" noThreeD="1"/>
</file>

<file path=xl/ctrlProps/ctrlProp4.xml><?xml version="1.0" encoding="utf-8"?>
<formControlPr xmlns="http://schemas.microsoft.com/office/spreadsheetml/2009/9/main" objectType="CheckBox" fmlaLink="'Backup Info'!AF4" lockText="1" noThreeD="1"/>
</file>

<file path=xl/ctrlProps/ctrlProp5.xml><?xml version="1.0" encoding="utf-8"?>
<formControlPr xmlns="http://schemas.microsoft.com/office/spreadsheetml/2009/9/main" objectType="CheckBox" fmlaLink="'Backup Info'!$EB$4" lockText="1" noThreeD="1"/>
</file>

<file path=xl/ctrlProps/ctrlProp6.xml><?xml version="1.0" encoding="utf-8"?>
<formControlPr xmlns="http://schemas.microsoft.com/office/spreadsheetml/2009/9/main" objectType="CheckBox" fmlaLink="'Backup Info'!AP4" lockText="1" noThreeD="1"/>
</file>

<file path=xl/ctrlProps/ctrlProp7.xml><?xml version="1.0" encoding="utf-8"?>
<formControlPr xmlns="http://schemas.microsoft.com/office/spreadsheetml/2009/9/main" objectType="CheckBox" fmlaLink="'Backup Info'!AZ4" lockText="1" noThreeD="1"/>
</file>

<file path=xl/ctrlProps/ctrlProp8.xml><?xml version="1.0" encoding="utf-8"?>
<formControlPr xmlns="http://schemas.microsoft.com/office/spreadsheetml/2009/9/main" objectType="CheckBox" fmlaLink="'Backup Info'!BJ4" lockText="1" noThreeD="1"/>
</file>

<file path=xl/ctrlProps/ctrlProp9.xml><?xml version="1.0" encoding="utf-8"?>
<formControlPr xmlns="http://schemas.microsoft.com/office/spreadsheetml/2009/9/main" objectType="CheckBox" fmlaLink="'Backup Info'!BT4" lockText="1" noThreeD="1"/>
</file>

<file path=xl/ctrlProps/ctrlProp10.xml><?xml version="1.0" encoding="utf-8"?>
<formControlPr xmlns="http://schemas.microsoft.com/office/spreadsheetml/2009/9/main" objectType="CheckBox" fmlaLink="'Backup Info'!CD4" lockText="1" noThreeD="1"/>
</file>

<file path=xl/ctrlProps/ctrlProp11.xml><?xml version="1.0" encoding="utf-8"?>
<formControlPr xmlns="http://schemas.microsoft.com/office/spreadsheetml/2009/9/main" objectType="CheckBox" fmlaLink="'Backup Info'!CN4" lockText="1" noThreeD="1"/>
</file>

<file path=xl/ctrlProps/ctrlProp12.xml><?xml version="1.0" encoding="utf-8"?>
<formControlPr xmlns="http://schemas.microsoft.com/office/spreadsheetml/2009/9/main" objectType="CheckBox" fmlaLink="'Backup Info'!CX4" lockText="1" noThreeD="1"/>
</file>

<file path=xl/ctrlProps/ctrlProp13.xml><?xml version="1.0" encoding="utf-8"?>
<formControlPr xmlns="http://schemas.microsoft.com/office/spreadsheetml/2009/9/main" objectType="CheckBox" fmlaLink="'Backup Info'!DH4" lockText="1" noThreeD="1"/>
</file>

<file path=xl/ctrlProps/ctrlProp14.xml><?xml version="1.0" encoding="utf-8"?>
<formControlPr xmlns="http://schemas.microsoft.com/office/spreadsheetml/2009/9/main" objectType="CheckBox" fmlaLink="'Backup Info'!DR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106680</xdr:colOff>
          <xdr:row>26</xdr:row>
          <xdr:rowOff>7620</xdr:rowOff>
        </xdr:from>
        <xdr:to>
          <xdr:col>2</xdr:col>
          <xdr:colOff>388620</xdr:colOff>
          <xdr:row>27</xdr:row>
          <xdr:rowOff>0</xdr:rowOff>
        </xdr:to>
        <xdr:sp macro="" textlink="">
          <xdr:nvSpPr>
            <xdr:cNvPr id="1025" name="Check Box 1" descr="Fairfield Township"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Fairfield Township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27</xdr:row>
          <xdr:rowOff>38100</xdr:rowOff>
        </xdr:from>
        <xdr:to>
          <xdr:col>2</xdr:col>
          <xdr:colOff>388620</xdr:colOff>
          <xdr:row>28</xdr:row>
          <xdr:rowOff>30480</xdr:rowOff>
        </xdr:to>
        <xdr:sp macro="" textlink="">
          <xdr:nvSpPr>
            <xdr:cNvPr id="1026" name="Check Box 2" descr="Town of Zionsville"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Grant Township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28</xdr:row>
          <xdr:rowOff>68580</xdr:rowOff>
        </xdr:from>
        <xdr:to>
          <xdr:col>2</xdr:col>
          <xdr:colOff>388620</xdr:colOff>
          <xdr:row>29</xdr:row>
          <xdr:rowOff>60960</xdr:rowOff>
        </xdr:to>
        <xdr:sp macro="" textlink="">
          <xdr:nvSpPr>
            <xdr:cNvPr id="1027" name="Check Box 3" descr="Town of Zionsville"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Jackson Township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29</xdr:row>
          <xdr:rowOff>83820</xdr:rowOff>
        </xdr:from>
        <xdr:to>
          <xdr:col>3</xdr:col>
          <xdr:colOff>251460</xdr:colOff>
          <xdr:row>30</xdr:row>
          <xdr:rowOff>121920</xdr:rowOff>
        </xdr:to>
        <xdr:sp macro="" textlink="">
          <xdr:nvSpPr>
            <xdr:cNvPr id="1029" name="Check Box 5" hidden="1">
              <a:extLst>
                <a:ext uri="{63B3BB69-23CF-44E3-9099-C40C66FF867C}">
                  <a14:compatExt spid="_x0000_s10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Richland Township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33</xdr:row>
          <xdr:rowOff>106680</xdr:rowOff>
        </xdr:from>
        <xdr:to>
          <xdr:col>5</xdr:col>
          <xdr:colOff>563880</xdr:colOff>
          <xdr:row>34</xdr:row>
          <xdr:rowOff>106680</xdr:rowOff>
        </xdr:to>
        <xdr:sp macro="" textlink="">
          <xdr:nvSpPr>
            <xdr:cNvPr id="1031" name="Check Box 7" hidden="1">
              <a:extLst>
                <a:ext uri="{63B3BB69-23CF-44E3-9099-C40C66FF867C}">
                  <a14:compatExt spid="_x0000_s10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Town of Ashley - Steuben County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30</xdr:row>
          <xdr:rowOff>160020</xdr:rowOff>
        </xdr:from>
        <xdr:to>
          <xdr:col>3</xdr:col>
          <xdr:colOff>251460</xdr:colOff>
          <xdr:row>31</xdr:row>
          <xdr:rowOff>152400</xdr:rowOff>
        </xdr:to>
        <xdr:sp macro="" textlink="">
          <xdr:nvSpPr>
            <xdr:cNvPr id="1032" name="Check Box 8" hidden="1">
              <a:extLst>
                <a:ext uri="{63B3BB69-23CF-44E3-9099-C40C66FF867C}">
                  <a14:compatExt spid="_x0000_s10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Smithfield Township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32</xdr:row>
          <xdr:rowOff>0</xdr:rowOff>
        </xdr:from>
        <xdr:to>
          <xdr:col>3</xdr:col>
          <xdr:colOff>251460</xdr:colOff>
          <xdr:row>33</xdr:row>
          <xdr:rowOff>38100</xdr:rowOff>
        </xdr:to>
        <xdr:sp macro="" textlink="">
          <xdr:nvSpPr>
            <xdr:cNvPr id="1033" name="Check Box 9" hidden="1">
              <a:extLst>
                <a:ext uri="{63B3BB69-23CF-44E3-9099-C40C66FF867C}">
                  <a14:compatExt spid="_x0000_s10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Union Township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33</xdr:row>
          <xdr:rowOff>76200</xdr:rowOff>
        </xdr:from>
        <xdr:to>
          <xdr:col>3</xdr:col>
          <xdr:colOff>251460</xdr:colOff>
          <xdr:row>34</xdr:row>
          <xdr:rowOff>68580</xdr:rowOff>
        </xdr:to>
        <xdr:sp macro="" textlink="">
          <xdr:nvSpPr>
            <xdr:cNvPr id="1034" name="Check Box 10" hidden="1">
              <a:extLst>
                <a:ext uri="{63B3BB69-23CF-44E3-9099-C40C66FF867C}">
                  <a14:compatExt spid="_x0000_s10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Town of Ashley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26</xdr:row>
          <xdr:rowOff>0</xdr:rowOff>
        </xdr:from>
        <xdr:to>
          <xdr:col>5</xdr:col>
          <xdr:colOff>403860</xdr:colOff>
          <xdr:row>27</xdr:row>
          <xdr:rowOff>38100</xdr:rowOff>
        </xdr:to>
        <xdr:sp macro="" textlink="">
          <xdr:nvSpPr>
            <xdr:cNvPr id="1036" name="Check Box 12"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City of Auburn - Grant Township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27</xdr:row>
          <xdr:rowOff>68580</xdr:rowOff>
        </xdr:from>
        <xdr:to>
          <xdr:col>5</xdr:col>
          <xdr:colOff>403860</xdr:colOff>
          <xdr:row>28</xdr:row>
          <xdr:rowOff>106680</xdr:rowOff>
        </xdr:to>
        <xdr:sp macro="" textlink="">
          <xdr:nvSpPr>
            <xdr:cNvPr id="1037" name="Check Box 13" hidden="1">
              <a:extLst>
                <a:ext uri="{63B3BB69-23CF-44E3-9099-C40C66FF867C}">
                  <a14:compatExt spid="_x0000_s10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City of Auburn - Jackson Township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28</xdr:row>
          <xdr:rowOff>121920</xdr:rowOff>
        </xdr:from>
        <xdr:to>
          <xdr:col>5</xdr:col>
          <xdr:colOff>403860</xdr:colOff>
          <xdr:row>29</xdr:row>
          <xdr:rowOff>160020</xdr:rowOff>
        </xdr:to>
        <xdr:sp macro="" textlink="">
          <xdr:nvSpPr>
            <xdr:cNvPr id="1038" name="Check Box 14"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City of Auburn - Union Township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30</xdr:row>
          <xdr:rowOff>0</xdr:rowOff>
        </xdr:from>
        <xdr:to>
          <xdr:col>5</xdr:col>
          <xdr:colOff>403860</xdr:colOff>
          <xdr:row>31</xdr:row>
          <xdr:rowOff>0</xdr:rowOff>
        </xdr:to>
        <xdr:sp macro="" textlink="">
          <xdr:nvSpPr>
            <xdr:cNvPr id="1039" name="Check Box 15"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Town of Corunna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31</xdr:row>
          <xdr:rowOff>7620</xdr:rowOff>
        </xdr:from>
        <xdr:to>
          <xdr:col>5</xdr:col>
          <xdr:colOff>403860</xdr:colOff>
          <xdr:row>32</xdr:row>
          <xdr:rowOff>45720</xdr:rowOff>
        </xdr:to>
        <xdr:sp macro="" textlink="">
          <xdr:nvSpPr>
            <xdr:cNvPr id="1040" name="Check Box 16"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Town of Waterloo - Grant Township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32</xdr:row>
          <xdr:rowOff>76200</xdr:rowOff>
        </xdr:from>
        <xdr:to>
          <xdr:col>5</xdr:col>
          <xdr:colOff>822960</xdr:colOff>
          <xdr:row>33</xdr:row>
          <xdr:rowOff>83820</xdr:rowOff>
        </xdr:to>
        <xdr:sp macro="" textlink="">
          <xdr:nvSpPr>
            <xdr:cNvPr id="1041" name="Check Box 17"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Town of Waterloo - Smithfield Township</a:t>
              </a:r>
            </a:p>
          </xdr:txBody>
        </xdr:sp>
        <xdr:clientData/>
      </xdr:twoCellAnchor>
    </mc:Choice>
    <mc:Fallback/>
  </mc:AlternateContent>
  <xdr:twoCellAnchor editAs="oneCell">
    <xdr:from>
      <xdr:col>5</xdr:col>
      <xdr:colOff>509166</xdr:colOff>
      <xdr:row>1</xdr:row>
      <xdr:rowOff>63500</xdr:rowOff>
    </xdr:from>
    <xdr:to>
      <xdr:col>6</xdr:col>
      <xdr:colOff>1361017</xdr:colOff>
      <xdr:row>7</xdr:row>
      <xdr:rowOff>88975</xdr:rowOff>
    </xdr:to>
    <xdr:pic>
      <xdr:nvPicPr>
        <xdr:cNvPr id="17" name="Picture 16" descr="Image result for dekalb county schools indiana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76291" y="254000"/>
          <a:ext cx="1709101" cy="1168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1" Type="http://schemas.openxmlformats.org/officeDocument/2006/relationships/hyperlink" Target="http://counties.xsoftin.com/dekalb/parcelsearch.aspx"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4.4"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O60"/>
  <sheetViews>
    <sheetView tabSelected="1" zoomScale="90" zoomScaleNormal="90" workbookViewId="0">
      <selection activeCell="C57" sqref="C57:J57"/>
    </sheetView>
  </sheetViews>
  <sheetFormatPr defaultColWidth="9.6640625" defaultRowHeight="14.4" x14ac:dyDescent="0.3"/>
  <cols>
    <col min="1" max="1" width="9.6640625" style="28"/>
    <col min="2" max="2" width="11.88671875" customWidth="1"/>
    <col min="3" max="3" width="11" customWidth="1"/>
    <col min="4" max="4" width="11.44140625" customWidth="1"/>
    <col min="5" max="5" width="11" customWidth="1"/>
    <col min="6" max="6" width="12.88671875" customWidth="1"/>
    <col min="7" max="7" width="24.88671875" customWidth="1"/>
    <col min="8" max="8" width="13.88671875" style="55" customWidth="1"/>
    <col min="9" max="9" width="14" customWidth="1"/>
    <col min="10" max="10" width="24.6640625" customWidth="1"/>
    <col min="11" max="11" width="9.6640625" style="28"/>
  </cols>
  <sheetData>
    <row r="1" spans="1:11" x14ac:dyDescent="0.3">
      <c r="B1" s="28"/>
      <c r="C1" s="28"/>
      <c r="D1" s="28"/>
      <c r="E1" s="28"/>
      <c r="F1" s="28"/>
      <c r="G1" s="28"/>
      <c r="H1" s="31"/>
      <c r="I1" s="28"/>
      <c r="J1" s="28"/>
    </row>
    <row r="2" spans="1:11" x14ac:dyDescent="0.3">
      <c r="B2" s="28"/>
      <c r="C2" s="28"/>
      <c r="D2" s="28"/>
      <c r="E2" s="28"/>
      <c r="F2" s="28"/>
      <c r="G2" s="28"/>
      <c r="H2" s="31"/>
      <c r="I2" s="28"/>
      <c r="J2" s="28"/>
    </row>
    <row r="3" spans="1:11" x14ac:dyDescent="0.3">
      <c r="A3" s="31"/>
      <c r="B3" s="31"/>
      <c r="C3" s="31"/>
      <c r="D3" s="31"/>
      <c r="E3" s="31"/>
      <c r="G3" s="31"/>
      <c r="H3" s="31"/>
      <c r="I3" s="31"/>
      <c r="J3" s="31"/>
      <c r="K3" s="31"/>
    </row>
    <row r="4" spans="1:11" x14ac:dyDescent="0.3">
      <c r="A4" s="31"/>
      <c r="B4" s="31"/>
      <c r="C4" s="31"/>
      <c r="D4" s="31"/>
      <c r="E4" s="31"/>
      <c r="F4" s="31"/>
      <c r="G4" s="31"/>
      <c r="H4" s="31"/>
      <c r="I4" s="31"/>
      <c r="J4" s="31"/>
      <c r="K4" s="31"/>
    </row>
    <row r="5" spans="1:11" x14ac:dyDescent="0.3">
      <c r="A5" s="31"/>
      <c r="B5" s="31"/>
      <c r="C5" s="31"/>
      <c r="D5" s="31"/>
      <c r="E5" s="31"/>
      <c r="F5" s="31"/>
      <c r="G5" s="31"/>
      <c r="H5" s="31"/>
      <c r="I5" s="31"/>
      <c r="J5" s="31"/>
      <c r="K5" s="31"/>
    </row>
    <row r="6" spans="1:11" x14ac:dyDescent="0.3">
      <c r="A6" s="31"/>
      <c r="B6" s="31"/>
      <c r="C6" s="31"/>
      <c r="D6" s="31"/>
      <c r="E6" s="31"/>
      <c r="F6" s="31"/>
      <c r="G6" s="31"/>
      <c r="H6" s="31"/>
      <c r="I6" s="31"/>
      <c r="J6" s="31"/>
      <c r="K6" s="31"/>
    </row>
    <row r="7" spans="1:11" x14ac:dyDescent="0.3">
      <c r="A7" s="31"/>
      <c r="B7" s="31"/>
      <c r="C7" s="31"/>
      <c r="D7" s="31"/>
      <c r="E7" s="31"/>
      <c r="F7" s="31"/>
      <c r="G7" s="31"/>
      <c r="H7" s="31"/>
      <c r="I7" s="31"/>
      <c r="J7" s="31"/>
      <c r="K7" s="31"/>
    </row>
    <row r="8" spans="1:11" x14ac:dyDescent="0.3">
      <c r="A8" s="31"/>
      <c r="B8" s="31"/>
      <c r="C8" s="31"/>
      <c r="D8" s="31"/>
      <c r="E8" s="31"/>
      <c r="F8" s="31"/>
      <c r="G8" s="31"/>
      <c r="H8" s="31"/>
      <c r="I8" s="31"/>
      <c r="J8" s="31"/>
      <c r="K8" s="31"/>
    </row>
    <row r="9" spans="1:11" ht="21" x14ac:dyDescent="0.4">
      <c r="B9" s="102" t="s">
        <v>80</v>
      </c>
      <c r="C9" s="102"/>
      <c r="D9" s="102"/>
      <c r="E9" s="102"/>
      <c r="F9" s="102"/>
      <c r="G9" s="102"/>
      <c r="H9" s="102"/>
      <c r="I9" s="102"/>
      <c r="J9" s="102"/>
    </row>
    <row r="10" spans="1:11" ht="21" x14ac:dyDescent="0.4">
      <c r="A10" s="31"/>
      <c r="B10" s="102" t="s">
        <v>37</v>
      </c>
      <c r="C10" s="102"/>
      <c r="D10" s="102"/>
      <c r="E10" s="102"/>
      <c r="F10" s="102"/>
      <c r="G10" s="102"/>
      <c r="H10" s="102"/>
      <c r="I10" s="102"/>
      <c r="J10" s="102"/>
      <c r="K10" s="31"/>
    </row>
    <row r="11" spans="1:11" x14ac:dyDescent="0.3">
      <c r="A11" s="31"/>
      <c r="B11" s="103" t="s">
        <v>81</v>
      </c>
      <c r="C11" s="103"/>
      <c r="D11" s="103"/>
      <c r="E11" s="103"/>
      <c r="F11" s="103"/>
      <c r="G11" s="103"/>
      <c r="H11" s="103"/>
      <c r="I11" s="103"/>
      <c r="J11" s="103"/>
      <c r="K11" s="31"/>
    </row>
    <row r="12" spans="1:11" s="46" customFormat="1" x14ac:dyDescent="0.3">
      <c r="A12" s="45"/>
      <c r="B12" s="29"/>
      <c r="C12" s="29"/>
      <c r="D12" s="29"/>
      <c r="E12" s="29"/>
      <c r="F12" s="29"/>
      <c r="G12" s="29"/>
      <c r="H12" s="92"/>
      <c r="I12" s="29"/>
      <c r="J12" s="29"/>
      <c r="K12" s="45"/>
    </row>
    <row r="13" spans="1:11" s="46" customFormat="1" x14ac:dyDescent="0.3">
      <c r="A13" s="45"/>
      <c r="B13" s="104" t="s">
        <v>34</v>
      </c>
      <c r="C13" s="104"/>
      <c r="D13" s="104"/>
      <c r="E13" s="104"/>
      <c r="F13" s="104"/>
      <c r="G13" s="44"/>
      <c r="H13" s="91"/>
      <c r="I13" s="44"/>
      <c r="J13" s="44"/>
      <c r="K13" s="45"/>
    </row>
    <row r="14" spans="1:11" s="46" customFormat="1" x14ac:dyDescent="0.3">
      <c r="A14" s="45"/>
      <c r="B14" s="105" t="s">
        <v>82</v>
      </c>
      <c r="C14" s="105"/>
      <c r="D14" s="105"/>
      <c r="E14" s="105"/>
      <c r="F14" s="105"/>
      <c r="G14" s="105"/>
      <c r="H14" s="105"/>
      <c r="I14" s="105"/>
      <c r="J14" s="105"/>
      <c r="K14" s="105"/>
    </row>
    <row r="15" spans="1:11" s="46" customFormat="1" x14ac:dyDescent="0.3">
      <c r="A15" s="45"/>
      <c r="B15" s="104" t="s">
        <v>35</v>
      </c>
      <c r="C15" s="104"/>
      <c r="D15" s="104"/>
      <c r="E15" s="104"/>
      <c r="F15" s="104"/>
      <c r="G15" s="104"/>
      <c r="H15" s="104"/>
      <c r="I15" s="104"/>
      <c r="J15" s="104"/>
      <c r="K15" s="45"/>
    </row>
    <row r="16" spans="1:11" s="46" customFormat="1" x14ac:dyDescent="0.3">
      <c r="A16" s="45"/>
      <c r="B16" s="45"/>
      <c r="C16" s="45"/>
      <c r="D16" s="45"/>
      <c r="E16" s="45"/>
      <c r="F16" s="45"/>
      <c r="G16" s="45"/>
      <c r="H16" s="45"/>
      <c r="I16" s="45"/>
      <c r="J16" s="45"/>
      <c r="K16" s="45"/>
    </row>
    <row r="17" spans="1:11" s="46" customFormat="1" x14ac:dyDescent="0.3">
      <c r="A17" s="45"/>
      <c r="B17" s="112" t="s">
        <v>38</v>
      </c>
      <c r="C17" s="113"/>
      <c r="D17" s="113"/>
      <c r="E17" s="113"/>
      <c r="F17" s="113"/>
      <c r="G17" s="113"/>
      <c r="H17" s="113"/>
      <c r="I17" s="113"/>
      <c r="J17" s="114"/>
      <c r="K17" s="45"/>
    </row>
    <row r="18" spans="1:11" x14ac:dyDescent="0.3">
      <c r="B18" s="28"/>
      <c r="C18" s="28"/>
      <c r="D18" s="28"/>
      <c r="E18" s="28"/>
      <c r="F18" s="28"/>
      <c r="G18" s="28"/>
      <c r="H18" s="31"/>
      <c r="I18" s="28"/>
      <c r="J18" s="28"/>
    </row>
    <row r="19" spans="1:11" ht="15" customHeight="1" x14ac:dyDescent="0.3">
      <c r="B19" s="15"/>
      <c r="C19" s="16"/>
      <c r="D19" s="16"/>
      <c r="E19" s="16"/>
      <c r="F19" s="17"/>
      <c r="G19" s="115" t="s">
        <v>73</v>
      </c>
      <c r="H19" s="116"/>
      <c r="I19" s="116"/>
      <c r="J19" s="117"/>
    </row>
    <row r="20" spans="1:11" ht="15" customHeight="1" x14ac:dyDescent="0.3">
      <c r="B20" s="106" t="s">
        <v>32</v>
      </c>
      <c r="C20" s="107"/>
      <c r="D20" s="107"/>
      <c r="E20" s="107"/>
      <c r="F20" s="108"/>
      <c r="G20" s="106"/>
      <c r="H20" s="107"/>
      <c r="I20" s="107"/>
      <c r="J20" s="108"/>
    </row>
    <row r="21" spans="1:11" ht="18" x14ac:dyDescent="0.35">
      <c r="B21" s="18"/>
      <c r="C21" s="13"/>
      <c r="D21" s="11"/>
      <c r="E21" s="11"/>
      <c r="F21" s="23"/>
      <c r="G21" s="118" t="s">
        <v>75</v>
      </c>
      <c r="H21" s="119"/>
      <c r="I21" s="119"/>
      <c r="J21" s="120"/>
    </row>
    <row r="22" spans="1:11" ht="30" customHeight="1" x14ac:dyDescent="0.35">
      <c r="B22" s="18"/>
      <c r="C22" s="109"/>
      <c r="D22" s="110"/>
      <c r="E22" s="111"/>
      <c r="F22" s="23"/>
      <c r="G22" s="115" t="s">
        <v>63</v>
      </c>
      <c r="H22" s="117"/>
      <c r="I22" s="115" t="s">
        <v>67</v>
      </c>
      <c r="J22" s="117"/>
    </row>
    <row r="23" spans="1:11" s="55" customFormat="1" ht="13.5" customHeight="1" x14ac:dyDescent="0.3">
      <c r="A23" s="31"/>
      <c r="B23" s="18"/>
      <c r="C23" s="13"/>
      <c r="D23" s="13"/>
      <c r="E23" s="13"/>
      <c r="F23" s="23"/>
      <c r="G23" s="121" t="s">
        <v>27</v>
      </c>
      <c r="H23" s="122"/>
      <c r="I23" s="121" t="s">
        <v>27</v>
      </c>
      <c r="J23" s="122"/>
      <c r="K23" s="31"/>
    </row>
    <row r="24" spans="1:11" s="55" customFormat="1" ht="15.75" customHeight="1" x14ac:dyDescent="0.35">
      <c r="A24" s="31"/>
      <c r="B24" s="18"/>
      <c r="C24" s="13"/>
      <c r="D24" s="13"/>
      <c r="E24" s="13"/>
      <c r="F24" s="23"/>
      <c r="G24" s="118" t="s">
        <v>62</v>
      </c>
      <c r="H24" s="120"/>
      <c r="I24" s="118" t="s">
        <v>62</v>
      </c>
      <c r="J24" s="120"/>
      <c r="K24" s="31"/>
    </row>
    <row r="25" spans="1:11" x14ac:dyDescent="0.3">
      <c r="A25" s="31"/>
      <c r="B25" s="18"/>
      <c r="C25" s="13"/>
      <c r="D25" s="13"/>
      <c r="E25" s="13"/>
      <c r="F25" s="23"/>
      <c r="G25" s="18"/>
      <c r="H25" s="1"/>
      <c r="I25" s="13"/>
      <c r="J25" s="77"/>
      <c r="K25" s="31"/>
    </row>
    <row r="26" spans="1:11" x14ac:dyDescent="0.3">
      <c r="A26" s="31"/>
      <c r="B26" s="106" t="s">
        <v>41</v>
      </c>
      <c r="C26" s="107"/>
      <c r="D26" s="107"/>
      <c r="E26" s="107"/>
      <c r="F26" s="108"/>
      <c r="G26" s="106" t="s">
        <v>66</v>
      </c>
      <c r="H26" s="107"/>
      <c r="I26" s="107"/>
      <c r="J26" s="108"/>
      <c r="K26" s="31"/>
    </row>
    <row r="27" spans="1:11" ht="15" customHeight="1" x14ac:dyDescent="0.3">
      <c r="A27" s="31"/>
      <c r="B27" s="18"/>
      <c r="C27" s="13"/>
      <c r="D27" s="13"/>
      <c r="E27" s="13"/>
      <c r="F27" s="23"/>
      <c r="G27" s="106"/>
      <c r="H27" s="107"/>
      <c r="I27" s="107"/>
      <c r="J27" s="108"/>
      <c r="K27" s="31"/>
    </row>
    <row r="28" spans="1:11" x14ac:dyDescent="0.3">
      <c r="B28" s="18"/>
      <c r="C28" s="13"/>
      <c r="D28" s="13"/>
      <c r="E28" s="1"/>
      <c r="F28" s="19"/>
      <c r="G28" s="69"/>
      <c r="H28" s="90"/>
      <c r="I28" s="70"/>
      <c r="J28" s="71"/>
    </row>
    <row r="29" spans="1:11" ht="15" customHeight="1" x14ac:dyDescent="0.3">
      <c r="A29" s="31"/>
      <c r="B29" s="18"/>
      <c r="C29" s="13"/>
      <c r="D29" s="13"/>
      <c r="E29" s="1"/>
      <c r="F29" s="19"/>
      <c r="G29" s="61">
        <v>2020</v>
      </c>
      <c r="H29" s="94"/>
      <c r="I29" s="62">
        <v>2021</v>
      </c>
      <c r="J29" s="78">
        <v>2022</v>
      </c>
      <c r="K29" s="31"/>
    </row>
    <row r="30" spans="1:11" x14ac:dyDescent="0.3">
      <c r="A30" s="31"/>
      <c r="B30" s="18"/>
      <c r="C30" s="13"/>
      <c r="D30" s="13"/>
      <c r="E30" s="1"/>
      <c r="F30" s="19"/>
      <c r="G30" s="79" t="s">
        <v>0</v>
      </c>
      <c r="H30" s="56"/>
      <c r="I30" s="56" t="s">
        <v>0</v>
      </c>
      <c r="J30" s="58" t="s">
        <v>0</v>
      </c>
      <c r="K30" s="31"/>
    </row>
    <row r="31" spans="1:11" ht="18" x14ac:dyDescent="0.35">
      <c r="B31" s="18"/>
      <c r="C31" s="13"/>
      <c r="D31" s="13"/>
      <c r="E31" s="13"/>
      <c r="F31" s="19"/>
      <c r="G31" s="80">
        <f t="shared" ref="G31:J31" si="0">G34/12</f>
        <v>0</v>
      </c>
      <c r="H31" s="7"/>
      <c r="I31" s="7">
        <f t="shared" si="0"/>
        <v>0</v>
      </c>
      <c r="J31" s="59">
        <f t="shared" si="0"/>
        <v>0</v>
      </c>
    </row>
    <row r="32" spans="1:11" x14ac:dyDescent="0.3">
      <c r="B32" s="18"/>
      <c r="C32" s="13"/>
      <c r="D32" s="13"/>
      <c r="E32" s="13"/>
      <c r="F32" s="19"/>
      <c r="G32" s="81"/>
      <c r="H32" s="95"/>
      <c r="I32" s="57"/>
      <c r="J32" s="82"/>
    </row>
    <row r="33" spans="1:15" x14ac:dyDescent="0.3">
      <c r="B33" s="18"/>
      <c r="C33" s="13"/>
      <c r="D33" s="13"/>
      <c r="E33" s="13"/>
      <c r="F33" s="19"/>
      <c r="G33" s="79" t="s">
        <v>1</v>
      </c>
      <c r="H33" s="56"/>
      <c r="I33" s="56" t="s">
        <v>1</v>
      </c>
      <c r="J33" s="58" t="s">
        <v>1</v>
      </c>
    </row>
    <row r="34" spans="1:15" ht="18" x14ac:dyDescent="0.35">
      <c r="B34" s="18"/>
      <c r="C34" s="13"/>
      <c r="D34" s="13"/>
      <c r="E34" s="13"/>
      <c r="F34" s="19"/>
      <c r="G34" s="80">
        <f>IF('Backup Info'!EJ4&gt;1,0,IF('Backup Info'!B4=TRUE,IF('Backup Info'!B5=1,'Backup Info'!E33, IF('Backup Info'!B5=2,'Backup Info'!G33,'Backup Info'!I33)), IF('Backup Info'!L4=TRUE,IF('Backup Info'!L5=1,'Backup Info'!O33, IF('Backup Info'!L5=2,'Backup Info'!Q33,'Backup Info'!S33)), IF('Backup Info'!V4=TRUE,IF('Backup Info'!V5=1,'Backup Info'!Y33,IF('Backup Info'!V5=2,'Backup Info'!AA33,'Backup Info'!AC33)), IF('Backup Info'!AF4=TRUE,IF('Backup Info'!AF5=1,'Backup Info'!AI33,IF('Backup Info'!AF5=2,'Backup Info'!AK33,'Backup Info'!AM33)), IF('Backup Info'!AP4=TRUE,IF('Backup Info'!AP5=1,'Backup Info'!AS33,IF('Backup Info'!AP5=2,'Backup Info'!AU33,'Backup Info'!AW33)), IF('Backup Info'!AZ4=TRUE,IF('Backup Info'!AZ5=1,'Backup Info'!BC33, IF('Backup Info'!AZ5=2,'Backup Info'!BE33,'Backup Info'!BG33)), IF('Backup Info'!BJ4=TRUE,IF('Backup Info'!BJ5=1,'Backup Info'!BM33, IF('Backup Info'!BJ5=2,'Backup Info'!BO33,'Backup Info'!BQ33)),  IF('Backup Info'!BT4=TRUE,IF('Backup Info'!BT5=1,'Backup Info'!BW33, IF('Backup Info'!BT5=2,'Backup Info'!BY33,'Backup Info'!CA33)), IF('Backup Info'!CD4=TRUE,IF('Backup Info'!CD5=1,'Backup Info'!CG33,IF('Backup Info'!CD5=2,'Backup Info'!CI33,'Backup Info'!CK33)), IF('Backup Info'!CN4=TRUE,IF('Backup Info'!CN5=1,'Backup Info'!CQ33, IF('Backup Info'!CN5=2,'Backup Info'!CS33,'Backup Info'!CU33)), IF('Backup Info'!CX4=TRUE,IF('Backup Info'!CX5=1,'Backup Info'!DA33, IF('Backup Info'!CX5=2,'Backup Info'!DC33,'Backup Info'!DE33)), IF('Backup Info'!DH4=TRUE,IF('Backup Info'!DH5=1,'Backup Info'!DK33, IF('Backup Info'!DH5=2,'Backup Info'!DM33, 'Backup Info'!DO33)), IF('Backup Info'!DR4=TRUE,IF('Backup Info'!DR5=1,'Backup Info'!DU33, IF('Backup Info'!DR5=2,'Backup Info'!DW33,'Backup Info'!DY33)), IF('Backup Info'!EB4=TRUE,IF('Backup Info'!EB5=1,'Backup Info'!EE33,IF('Backup Info'!EB5=2,'Backup Info'!EG33,'Backup Info'!EI33)),0)))))))))))))))</f>
        <v>0</v>
      </c>
      <c r="H34" s="7"/>
      <c r="I34" s="7">
        <f>IF('Backup Info'!EJ4&gt;1,0,IF('Backup Info'!B4=TRUE,IF('Backup Info'!B5=1,'Backup Info'!E43, IF('Backup Info'!B5=2, 'Backup Info'!G43,'Backup Info'!I43)), IF('Backup Info'!L4=TRUE,IF('Backup Info'!L5=1,'Backup Info'!O43,IF('Backup Info'!L5=2, 'Backup Info'!Q43,'Backup Info'!S43)), IF('Backup Info'!V4=TRUE,IF('Backup Info'!V5=1,'Backup Info'!Y43,IF('Backup Info'!V5=2, 'Backup Info'!AA43,'Backup Info'!AC43)), IF('Backup Info'!AF4=TRUE,IF('Backup Info'!AF5=1,'Backup Info'!AI43,IF('Backup Info'!AF5=2, 'Backup Info'!AK43,'Backup Info'!AM43)), IF('Backup Info'!AP4=TRUE,IF('Backup Info'!AP5=1,'Backup Info'!AS43, IF('Backup Info'!AP5=2, 'Backup Info'!AU43,'Backup Info'!AW43)), IF('Backup Info'!AZ4=TRUE,IF('Backup Info'!AZ5=1,'Backup Info'!BC43, IF('Backup Info'!AZ5=2, 'Backup Info'!BE43,'Backup Info'!BG43)), IF('Backup Info'!BJ4=TRUE,IF('Backup Info'!BJ5=1,'Backup Info'!BM43,IF('Backup Info'!BJ5=2, 'Backup Info'!BO43,'Backup Info'!BQ43)),  IF('Backup Info'!BT4=TRUE,IF('Backup Info'!BT5=1,'Backup Info'!BW43, IF('Backup Info'!BT5=2, 'Backup Info'!BY43,'Backup Info'!CA43)), IF('Backup Info'!CD4=TRUE,IF('Backup Info'!CD5=1,'Backup Info'!CG43, IF('Backup Info'!CD5=2, 'Backup Info'!CI43,'Backup Info'!CK43)), IF('Backup Info'!CN4=TRUE,IF('Backup Info'!CN5=1,'Backup Info'!CQ43,IF('Backup Info'!L5=2, 'Backup Info'!CS43,'Backup Info'!CU43)), IF('Backup Info'!CX4=TRUE,IF('Backup Info'!CX5=1,'Backup Info'!DA43, IF('Backup Info'!CX5=2, 'Backup Info'!DC43,'Backup Info'!DE43)), IF('Backup Info'!DH4=TRUE,IF('Backup Info'!DH5=1,'Backup Info'!DK43,IF('Backup Info'!DH5=2, 'Backup Info'!DM43,'Backup Info'!DO43)), IF('Backup Info'!DR4=TRUE,IF('Backup Info'!DR5=1,'Backup Info'!DU43, IF('Backup Info'!DR5=2, 'Backup Info'!DW43,'Backup Info'!DY43)), IF('Backup Info'!EB4=TRUE,IF('Backup Info'!EB5=1,'Backup Info'!EE43, IF('Backup Info'!EB5=2, 'Backup Info'!EG43,'Backup Info'!EI43)),0)))))))))))))))</f>
        <v>0</v>
      </c>
      <c r="J34" s="60">
        <f>IF('Backup Info'!EJ4&gt;1,0,IF('Backup Info'!B4=TRUE,IF('Backup Info'!B5=1,'Backup Info'!E55, IF('Backup Info'!B5=2, 'Backup Info'!G55,'Backup Info'!I55)), IF('Backup Info'!L4=TRUE,IF('Backup Info'!L5=1,'Backup Info'!O55,  IF('Backup Info'!L5=2, 'Backup Info'!Q55,'Backup Info'!S55)), IF('Backup Info'!V4=TRUE,IF('Backup Info'!V5=1,'Backup Info'!Y55,  IF('Backup Info'!V5=2, 'Backup Info'!AA55,'Backup Info'!AC55)), IF('Backup Info'!AF4=TRUE,IF('Backup Info'!AF5=1,'Backup Info'!AI55, IF('Backup Info'!AF5=2, 'Backup Info'!AK55,'Backup Info'!AM55)), IF('Backup Info'!AP4=TRUE,IF('Backup Info'!AP5=1,'Backup Info'!AS55,  IF('Backup Info'!AP5=2, 'Backup Info'!AU55,'Backup Info'!AW55)), IF('Backup Info'!AZ4=TRUE,IF('Backup Info'!AZ5=1,'Backup Info'!BC55,  IF('Backup Info'!AZ5=2, 'Backup Info'!BE55,'Backup Info'!BG55)), IF('Backup Info'!BJ4=TRUE,IF('Backup Info'!BJ5=1,'Backup Info'!BM55, IF('Backup Info'!B5=2, 'Backup Info'!BO55,'Backup Info'!BQ55)),  IF('Backup Info'!BT4=TRUE,IF('Backup Info'!BT5=1,'Backup Info'!BW55, IF('Backup Info'!BT5=2, 'Backup Info'!BY55,'Backup Info'!CA55)), IF('Backup Info'!CD4=TRUE,IF('Backup Info'!CD5=1,'Backup Info'!CG55, IF('Backup Info'!CD5=2, 'Backup Info'!CI55,'Backup Info'!CK55)), IF('Backup Info'!CN4=TRUE,IF('Backup Info'!CN5=1,'Backup Info'!CQ55,  IF('Backup Info'!CN5=2, 'Backup Info'!CS55,'Backup Info'!CU55)), IF('Backup Info'!CX4=TRUE,IF('Backup Info'!CX5=1,'Backup Info'!DA55,  IF('Backup Info'!CX5=2, 'Backup Info'!DC55,'Backup Info'!DE55)), IF('Backup Info'!DH4=TRUE,IF('Backup Info'!DH5=1,'Backup Info'!DK55,  IF('Backup Info'!DH5=2, 'Backup Info'!DM55,'Backup Info'!DO55)), IF('Backup Info'!DR4=TRUE,IF('Backup Info'!DR5=1,'Backup Info'!DU55,  IF('Backup Info'!DR5=2, 'Backup Info'!DW55,'Backup Info'!DY55)), IF('Backup Info'!EB4=TRUE,IF('Backup Info'!EB5=1,'Backup Info'!EE55,  IF('Backup Info'!EB5=2, 'Backup Info'!EG55,'Backup Info'!EI55)),0)))))))))))))))</f>
        <v>0</v>
      </c>
    </row>
    <row r="35" spans="1:15" x14ac:dyDescent="0.3">
      <c r="B35" s="18"/>
      <c r="C35" s="13"/>
      <c r="D35" s="13"/>
      <c r="E35" s="13"/>
      <c r="F35" s="19"/>
      <c r="G35" s="18"/>
      <c r="H35" s="1"/>
      <c r="I35" s="13"/>
      <c r="J35" s="77"/>
    </row>
    <row r="36" spans="1:15" x14ac:dyDescent="0.3">
      <c r="B36" s="20"/>
      <c r="C36" s="21"/>
      <c r="D36" s="21"/>
      <c r="E36" s="21"/>
      <c r="F36" s="22"/>
      <c r="G36" s="20"/>
      <c r="H36" s="21"/>
      <c r="I36" s="21"/>
      <c r="J36" s="22"/>
      <c r="O36" s="12"/>
    </row>
    <row r="37" spans="1:15" s="12" customFormat="1" x14ac:dyDescent="0.3">
      <c r="A37" s="28"/>
      <c r="B37" s="27"/>
      <c r="C37" s="27"/>
      <c r="D37" s="27"/>
      <c r="E37" s="27"/>
      <c r="F37" s="27"/>
      <c r="G37" s="27"/>
      <c r="H37" s="27"/>
      <c r="I37" s="27"/>
      <c r="J37" s="27"/>
      <c r="K37" s="25"/>
    </row>
    <row r="38" spans="1:15" s="12" customFormat="1" x14ac:dyDescent="0.3">
      <c r="A38" s="28"/>
      <c r="B38" s="27"/>
      <c r="C38" s="27"/>
      <c r="D38" s="27"/>
      <c r="E38" s="27"/>
      <c r="F38" s="27"/>
      <c r="G38" s="27"/>
      <c r="H38" s="27"/>
      <c r="I38" s="27"/>
      <c r="J38" s="27"/>
      <c r="K38" s="28"/>
    </row>
    <row r="39" spans="1:15" x14ac:dyDescent="0.3">
      <c r="B39" s="35" t="s">
        <v>33</v>
      </c>
      <c r="C39" s="36"/>
      <c r="D39" s="36"/>
      <c r="E39" s="36"/>
      <c r="F39" s="36"/>
      <c r="G39" s="36"/>
      <c r="H39" s="36"/>
      <c r="I39" s="73" t="s">
        <v>20</v>
      </c>
      <c r="J39" s="74" t="s">
        <v>21</v>
      </c>
    </row>
    <row r="40" spans="1:15" s="12" customFormat="1" x14ac:dyDescent="0.3">
      <c r="A40" s="28"/>
      <c r="B40" s="75"/>
      <c r="C40" s="76"/>
      <c r="D40" s="76"/>
      <c r="E40" s="76"/>
      <c r="F40" s="76"/>
      <c r="G40" s="76"/>
      <c r="H40" s="76"/>
      <c r="I40" s="76"/>
      <c r="J40" s="26"/>
      <c r="K40" s="28"/>
    </row>
    <row r="41" spans="1:15" s="12" customFormat="1" x14ac:dyDescent="0.3">
      <c r="A41" s="28"/>
      <c r="B41" s="75" t="s">
        <v>43</v>
      </c>
      <c r="C41" s="76"/>
      <c r="D41" s="76"/>
      <c r="E41" s="76"/>
      <c r="F41" s="76"/>
      <c r="G41" s="76"/>
      <c r="H41" s="76"/>
      <c r="I41" s="37">
        <v>0.40529999999999999</v>
      </c>
      <c r="J41" s="26"/>
      <c r="K41" s="28"/>
    </row>
    <row r="42" spans="1:15" s="12" customFormat="1" x14ac:dyDescent="0.3">
      <c r="A42" s="28"/>
      <c r="B42" s="75"/>
      <c r="C42" s="76"/>
      <c r="D42" s="76"/>
      <c r="E42" s="76"/>
      <c r="F42" s="76"/>
      <c r="G42" s="76"/>
      <c r="H42" s="76"/>
      <c r="I42" s="76"/>
      <c r="J42" s="26"/>
      <c r="K42" s="28"/>
    </row>
    <row r="43" spans="1:15" s="12" customFormat="1" x14ac:dyDescent="0.3">
      <c r="A43" s="28"/>
      <c r="B43" s="75" t="s">
        <v>45</v>
      </c>
      <c r="C43" s="76"/>
      <c r="D43" s="76"/>
      <c r="E43" s="76"/>
      <c r="F43" s="76"/>
      <c r="G43" s="76"/>
      <c r="H43" s="76"/>
      <c r="I43" s="76"/>
      <c r="J43" s="38">
        <v>0.3402</v>
      </c>
      <c r="K43" s="28"/>
      <c r="L43" s="43"/>
    </row>
    <row r="44" spans="1:15" s="12" customFormat="1" ht="16.2" x14ac:dyDescent="0.45">
      <c r="A44" s="28"/>
      <c r="B44" s="75" t="s">
        <v>46</v>
      </c>
      <c r="C44" s="76"/>
      <c r="D44" s="76"/>
      <c r="E44" s="76"/>
      <c r="F44" s="76"/>
      <c r="G44" s="76"/>
      <c r="H44" s="76"/>
      <c r="I44" s="76"/>
      <c r="J44" s="39">
        <v>4.9799999999999997E-2</v>
      </c>
      <c r="K44" s="32"/>
    </row>
    <row r="45" spans="1:15" s="12" customFormat="1" x14ac:dyDescent="0.3">
      <c r="A45" s="28"/>
      <c r="B45" s="75"/>
      <c r="C45" s="76"/>
      <c r="D45" s="76"/>
      <c r="E45" s="76"/>
      <c r="F45" s="76"/>
      <c r="G45" s="76"/>
      <c r="H45" s="76"/>
      <c r="I45" s="76"/>
      <c r="J45" s="40">
        <f>SUM(J43:J44)</f>
        <v>0.39</v>
      </c>
      <c r="K45" s="28"/>
    </row>
    <row r="46" spans="1:15" s="12" customFormat="1" x14ac:dyDescent="0.3">
      <c r="A46" s="28"/>
      <c r="B46" s="75"/>
      <c r="C46" s="76"/>
      <c r="D46" s="76"/>
      <c r="E46" s="76"/>
      <c r="F46" s="76"/>
      <c r="G46" s="76"/>
      <c r="H46" s="76"/>
      <c r="I46" s="76"/>
      <c r="J46" s="26"/>
      <c r="K46" s="28"/>
    </row>
    <row r="47" spans="1:15" s="12" customFormat="1" ht="15" customHeight="1" x14ac:dyDescent="0.3">
      <c r="A47" s="28"/>
      <c r="B47" s="123" t="s">
        <v>61</v>
      </c>
      <c r="C47" s="124"/>
      <c r="D47" s="124"/>
      <c r="E47" s="124"/>
      <c r="F47" s="124"/>
      <c r="G47" s="124"/>
      <c r="H47" s="88"/>
      <c r="I47" s="68"/>
      <c r="J47" s="83">
        <f>J45-I41</f>
        <v>-1.529999999999998E-2</v>
      </c>
      <c r="K47" s="28"/>
    </row>
    <row r="48" spans="1:15" s="12" customFormat="1" x14ac:dyDescent="0.3">
      <c r="A48" s="28"/>
      <c r="B48" s="75"/>
      <c r="C48" s="76"/>
      <c r="D48" s="76"/>
      <c r="E48" s="76"/>
      <c r="F48" s="76"/>
      <c r="G48" s="76"/>
      <c r="H48" s="76"/>
      <c r="I48" s="76"/>
      <c r="J48" s="85"/>
      <c r="K48" s="28"/>
    </row>
    <row r="49" spans="1:11" s="12" customFormat="1" ht="15" customHeight="1" x14ac:dyDescent="0.3">
      <c r="A49" s="28"/>
      <c r="B49" s="125" t="s">
        <v>64</v>
      </c>
      <c r="C49" s="126"/>
      <c r="D49" s="126"/>
      <c r="E49" s="126"/>
      <c r="F49" s="126"/>
      <c r="G49" s="126"/>
      <c r="H49" s="89"/>
      <c r="I49" s="72"/>
      <c r="J49" s="84">
        <v>0.33910000000000001</v>
      </c>
      <c r="K49" s="28"/>
    </row>
    <row r="50" spans="1:11" s="12" customFormat="1" x14ac:dyDescent="0.3">
      <c r="A50" s="31"/>
      <c r="B50" s="30"/>
      <c r="C50" s="30"/>
      <c r="D50" s="30"/>
      <c r="E50" s="30"/>
      <c r="F50" s="30"/>
      <c r="G50" s="30"/>
      <c r="H50" s="30"/>
      <c r="I50" s="30"/>
      <c r="J50" s="30"/>
      <c r="K50" s="31"/>
    </row>
    <row r="51" spans="1:11" s="14" customFormat="1" x14ac:dyDescent="0.3">
      <c r="A51" s="25"/>
      <c r="B51" s="30"/>
      <c r="C51" s="30"/>
      <c r="D51" s="30"/>
      <c r="E51" s="30"/>
      <c r="F51" s="30"/>
      <c r="G51" s="30"/>
      <c r="H51" s="30"/>
      <c r="I51" s="30"/>
      <c r="J51" s="25"/>
      <c r="K51" s="25"/>
    </row>
    <row r="52" spans="1:11" s="12" customFormat="1" ht="15.6" x14ac:dyDescent="0.3">
      <c r="A52" s="28"/>
      <c r="B52" s="33" t="s">
        <v>22</v>
      </c>
      <c r="C52" s="33"/>
      <c r="D52" s="33"/>
      <c r="E52" s="33"/>
      <c r="F52" s="33"/>
      <c r="G52" s="33"/>
      <c r="H52" s="33"/>
      <c r="I52" s="33"/>
      <c r="J52" s="33"/>
      <c r="K52" s="28"/>
    </row>
    <row r="53" spans="1:11" ht="57.75" customHeight="1" x14ac:dyDescent="0.3">
      <c r="B53" s="34">
        <v>1</v>
      </c>
      <c r="C53" s="127" t="s">
        <v>60</v>
      </c>
      <c r="D53" s="127"/>
      <c r="E53" s="127"/>
      <c r="F53" s="127"/>
      <c r="G53" s="127"/>
      <c r="H53" s="127"/>
      <c r="I53" s="127"/>
      <c r="J53" s="127"/>
    </row>
    <row r="54" spans="1:11" ht="36.75" customHeight="1" x14ac:dyDescent="0.3">
      <c r="B54" s="34" t="s">
        <v>19</v>
      </c>
      <c r="C54" s="127" t="s">
        <v>36</v>
      </c>
      <c r="D54" s="127"/>
      <c r="E54" s="127"/>
      <c r="F54" s="127"/>
      <c r="G54" s="127"/>
      <c r="H54" s="127"/>
      <c r="I54" s="127"/>
      <c r="J54" s="127"/>
    </row>
    <row r="55" spans="1:11" ht="37.5" customHeight="1" x14ac:dyDescent="0.3">
      <c r="B55" s="34" t="s">
        <v>24</v>
      </c>
      <c r="C55" s="127" t="s">
        <v>28</v>
      </c>
      <c r="D55" s="127"/>
      <c r="E55" s="127"/>
      <c r="F55" s="127"/>
      <c r="G55" s="127"/>
      <c r="H55" s="127"/>
      <c r="I55" s="127"/>
      <c r="J55" s="127"/>
    </row>
    <row r="56" spans="1:11" ht="22.5" customHeight="1" x14ac:dyDescent="0.3">
      <c r="B56" s="34" t="s">
        <v>25</v>
      </c>
      <c r="C56" s="127" t="s">
        <v>23</v>
      </c>
      <c r="D56" s="127"/>
      <c r="E56" s="127"/>
      <c r="F56" s="127"/>
      <c r="G56" s="127"/>
      <c r="H56" s="127"/>
      <c r="I56" s="127"/>
      <c r="J56" s="127"/>
    </row>
    <row r="57" spans="1:11" ht="38.25" customHeight="1" x14ac:dyDescent="0.3">
      <c r="B57" s="34" t="s">
        <v>26</v>
      </c>
      <c r="C57" s="127" t="s">
        <v>65</v>
      </c>
      <c r="D57" s="127"/>
      <c r="E57" s="127"/>
      <c r="F57" s="127"/>
      <c r="G57" s="127"/>
      <c r="H57" s="127"/>
      <c r="I57" s="127"/>
      <c r="J57" s="127"/>
    </row>
    <row r="58" spans="1:11" ht="36" customHeight="1" x14ac:dyDescent="0.3">
      <c r="B58" s="9"/>
      <c r="C58" s="127"/>
      <c r="D58" s="127"/>
      <c r="E58" s="127"/>
      <c r="F58" s="127"/>
      <c r="G58" s="127"/>
      <c r="H58" s="127"/>
      <c r="I58" s="127"/>
      <c r="J58" s="127"/>
    </row>
    <row r="59" spans="1:11" x14ac:dyDescent="0.3">
      <c r="B59" s="28"/>
      <c r="C59" s="28"/>
      <c r="D59" s="28"/>
      <c r="E59" s="28"/>
      <c r="F59" s="28"/>
      <c r="G59" s="28"/>
      <c r="H59" s="31"/>
      <c r="I59" s="28"/>
      <c r="J59" s="28"/>
    </row>
    <row r="60" spans="1:11" x14ac:dyDescent="0.3">
      <c r="B60" s="28"/>
      <c r="C60" s="28"/>
      <c r="D60" s="28"/>
      <c r="E60" s="28"/>
      <c r="F60" s="28"/>
      <c r="G60" s="28"/>
      <c r="H60" s="31"/>
      <c r="I60" s="28"/>
      <c r="J60" s="28"/>
    </row>
  </sheetData>
  <mergeCells count="27">
    <mergeCell ref="B47:G47"/>
    <mergeCell ref="B49:G49"/>
    <mergeCell ref="C58:J58"/>
    <mergeCell ref="C53:J53"/>
    <mergeCell ref="C54:J54"/>
    <mergeCell ref="C55:J55"/>
    <mergeCell ref="C56:J56"/>
    <mergeCell ref="C57:J57"/>
    <mergeCell ref="B26:F26"/>
    <mergeCell ref="G26:J27"/>
    <mergeCell ref="B15:J15"/>
    <mergeCell ref="B20:F20"/>
    <mergeCell ref="C22:E22"/>
    <mergeCell ref="B17:J17"/>
    <mergeCell ref="G19:J20"/>
    <mergeCell ref="G21:J21"/>
    <mergeCell ref="I22:J22"/>
    <mergeCell ref="I23:J23"/>
    <mergeCell ref="I24:J24"/>
    <mergeCell ref="G22:H22"/>
    <mergeCell ref="G24:H24"/>
    <mergeCell ref="G23:H23"/>
    <mergeCell ref="B9:J9"/>
    <mergeCell ref="B11:J11"/>
    <mergeCell ref="B10:J10"/>
    <mergeCell ref="B13:F13"/>
    <mergeCell ref="B14:K14"/>
  </mergeCells>
  <hyperlinks>
    <hyperlink ref="B14:K14" r:id="rId1" display="1. Visit the DeKalb County Assessor's website and look for your Property Record Card."/>
  </hyperlinks>
  <pageMargins left="0.7" right="0.7" top="0.75" bottom="0.75" header="0.3" footer="0.3"/>
  <pageSetup scale="55"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Check Box 1">
              <controlPr defaultSize="0" autoFill="0" autoLine="0" autoPict="0" altText="Fairfield Township">
                <anchor moveWithCells="1">
                  <from>
                    <xdr:col>1</xdr:col>
                    <xdr:colOff>106680</xdr:colOff>
                    <xdr:row>26</xdr:row>
                    <xdr:rowOff>7620</xdr:rowOff>
                  </from>
                  <to>
                    <xdr:col>2</xdr:col>
                    <xdr:colOff>388620</xdr:colOff>
                    <xdr:row>27</xdr:row>
                    <xdr:rowOff>0</xdr:rowOff>
                  </to>
                </anchor>
              </controlPr>
            </control>
          </mc:Choice>
        </mc:AlternateContent>
        <mc:AlternateContent xmlns:mc="http://schemas.openxmlformats.org/markup-compatibility/2006">
          <mc:Choice Requires="x14">
            <control shapeId="1026" r:id="rId6" name="Check Box 2">
              <controlPr defaultSize="0" autoFill="0" autoLine="0" autoPict="0" altText="Town of Zionsville">
                <anchor moveWithCells="1">
                  <from>
                    <xdr:col>1</xdr:col>
                    <xdr:colOff>106680</xdr:colOff>
                    <xdr:row>27</xdr:row>
                    <xdr:rowOff>38100</xdr:rowOff>
                  </from>
                  <to>
                    <xdr:col>2</xdr:col>
                    <xdr:colOff>388620</xdr:colOff>
                    <xdr:row>28</xdr:row>
                    <xdr:rowOff>30480</xdr:rowOff>
                  </to>
                </anchor>
              </controlPr>
            </control>
          </mc:Choice>
        </mc:AlternateContent>
        <mc:AlternateContent xmlns:mc="http://schemas.openxmlformats.org/markup-compatibility/2006">
          <mc:Choice Requires="x14">
            <control shapeId="1027" r:id="rId7" name="Check Box 3">
              <controlPr defaultSize="0" autoFill="0" autoLine="0" autoPict="0" altText="Town of Zionsville">
                <anchor moveWithCells="1">
                  <from>
                    <xdr:col>1</xdr:col>
                    <xdr:colOff>106680</xdr:colOff>
                    <xdr:row>28</xdr:row>
                    <xdr:rowOff>68580</xdr:rowOff>
                  </from>
                  <to>
                    <xdr:col>2</xdr:col>
                    <xdr:colOff>388620</xdr:colOff>
                    <xdr:row>29</xdr:row>
                    <xdr:rowOff>60960</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1</xdr:col>
                    <xdr:colOff>106680</xdr:colOff>
                    <xdr:row>29</xdr:row>
                    <xdr:rowOff>83820</xdr:rowOff>
                  </from>
                  <to>
                    <xdr:col>3</xdr:col>
                    <xdr:colOff>251460</xdr:colOff>
                    <xdr:row>30</xdr:row>
                    <xdr:rowOff>121920</xdr:rowOff>
                  </to>
                </anchor>
              </controlPr>
            </control>
          </mc:Choice>
        </mc:AlternateContent>
        <mc:AlternateContent xmlns:mc="http://schemas.openxmlformats.org/markup-compatibility/2006">
          <mc:Choice Requires="x14">
            <control shapeId="1031" r:id="rId9" name="Check Box 7">
              <controlPr defaultSize="0" autoFill="0" autoLine="0" autoPict="0">
                <anchor moveWithCells="1">
                  <from>
                    <xdr:col>3</xdr:col>
                    <xdr:colOff>228600</xdr:colOff>
                    <xdr:row>33</xdr:row>
                    <xdr:rowOff>106680</xdr:rowOff>
                  </from>
                  <to>
                    <xdr:col>5</xdr:col>
                    <xdr:colOff>563880</xdr:colOff>
                    <xdr:row>34</xdr:row>
                    <xdr:rowOff>106680</xdr:rowOff>
                  </to>
                </anchor>
              </controlPr>
            </control>
          </mc:Choice>
        </mc:AlternateContent>
        <mc:AlternateContent xmlns:mc="http://schemas.openxmlformats.org/markup-compatibility/2006">
          <mc:Choice Requires="x14">
            <control shapeId="1032" r:id="rId10" name="Check Box 8">
              <controlPr defaultSize="0" autoFill="0" autoLine="0" autoPict="0">
                <anchor moveWithCells="1">
                  <from>
                    <xdr:col>1</xdr:col>
                    <xdr:colOff>106680</xdr:colOff>
                    <xdr:row>30</xdr:row>
                    <xdr:rowOff>160020</xdr:rowOff>
                  </from>
                  <to>
                    <xdr:col>3</xdr:col>
                    <xdr:colOff>251460</xdr:colOff>
                    <xdr:row>31</xdr:row>
                    <xdr:rowOff>152400</xdr:rowOff>
                  </to>
                </anchor>
              </controlPr>
            </control>
          </mc:Choice>
        </mc:AlternateContent>
        <mc:AlternateContent xmlns:mc="http://schemas.openxmlformats.org/markup-compatibility/2006">
          <mc:Choice Requires="x14">
            <control shapeId="1033" r:id="rId11" name="Check Box 9">
              <controlPr defaultSize="0" autoFill="0" autoLine="0" autoPict="0">
                <anchor moveWithCells="1">
                  <from>
                    <xdr:col>1</xdr:col>
                    <xdr:colOff>106680</xdr:colOff>
                    <xdr:row>32</xdr:row>
                    <xdr:rowOff>0</xdr:rowOff>
                  </from>
                  <to>
                    <xdr:col>3</xdr:col>
                    <xdr:colOff>251460</xdr:colOff>
                    <xdr:row>33</xdr:row>
                    <xdr:rowOff>38100</xdr:rowOff>
                  </to>
                </anchor>
              </controlPr>
            </control>
          </mc:Choice>
        </mc:AlternateContent>
        <mc:AlternateContent xmlns:mc="http://schemas.openxmlformats.org/markup-compatibility/2006">
          <mc:Choice Requires="x14">
            <control shapeId="1034" r:id="rId12" name="Check Box 10">
              <controlPr defaultSize="0" autoFill="0" autoLine="0" autoPict="0">
                <anchor moveWithCells="1">
                  <from>
                    <xdr:col>1</xdr:col>
                    <xdr:colOff>106680</xdr:colOff>
                    <xdr:row>33</xdr:row>
                    <xdr:rowOff>76200</xdr:rowOff>
                  </from>
                  <to>
                    <xdr:col>3</xdr:col>
                    <xdr:colOff>251460</xdr:colOff>
                    <xdr:row>34</xdr:row>
                    <xdr:rowOff>68580</xdr:rowOff>
                  </to>
                </anchor>
              </controlPr>
            </control>
          </mc:Choice>
        </mc:AlternateContent>
        <mc:AlternateContent xmlns:mc="http://schemas.openxmlformats.org/markup-compatibility/2006">
          <mc:Choice Requires="x14">
            <control shapeId="1036" r:id="rId13" name="Check Box 12">
              <controlPr defaultSize="0" autoFill="0" autoLine="0" autoPict="0">
                <anchor moveWithCells="1">
                  <from>
                    <xdr:col>3</xdr:col>
                    <xdr:colOff>228600</xdr:colOff>
                    <xdr:row>26</xdr:row>
                    <xdr:rowOff>0</xdr:rowOff>
                  </from>
                  <to>
                    <xdr:col>5</xdr:col>
                    <xdr:colOff>403860</xdr:colOff>
                    <xdr:row>27</xdr:row>
                    <xdr:rowOff>38100</xdr:rowOff>
                  </to>
                </anchor>
              </controlPr>
            </control>
          </mc:Choice>
        </mc:AlternateContent>
        <mc:AlternateContent xmlns:mc="http://schemas.openxmlformats.org/markup-compatibility/2006">
          <mc:Choice Requires="x14">
            <control shapeId="1037" r:id="rId14" name="Check Box 13">
              <controlPr defaultSize="0" autoFill="0" autoLine="0" autoPict="0">
                <anchor moveWithCells="1">
                  <from>
                    <xdr:col>3</xdr:col>
                    <xdr:colOff>228600</xdr:colOff>
                    <xdr:row>27</xdr:row>
                    <xdr:rowOff>68580</xdr:rowOff>
                  </from>
                  <to>
                    <xdr:col>5</xdr:col>
                    <xdr:colOff>403860</xdr:colOff>
                    <xdr:row>28</xdr:row>
                    <xdr:rowOff>106680</xdr:rowOff>
                  </to>
                </anchor>
              </controlPr>
            </control>
          </mc:Choice>
        </mc:AlternateContent>
        <mc:AlternateContent xmlns:mc="http://schemas.openxmlformats.org/markup-compatibility/2006">
          <mc:Choice Requires="x14">
            <control shapeId="1038" r:id="rId15" name="Check Box 14">
              <controlPr defaultSize="0" autoFill="0" autoLine="0" autoPict="0">
                <anchor moveWithCells="1">
                  <from>
                    <xdr:col>3</xdr:col>
                    <xdr:colOff>228600</xdr:colOff>
                    <xdr:row>28</xdr:row>
                    <xdr:rowOff>121920</xdr:rowOff>
                  </from>
                  <to>
                    <xdr:col>5</xdr:col>
                    <xdr:colOff>403860</xdr:colOff>
                    <xdr:row>29</xdr:row>
                    <xdr:rowOff>160020</xdr:rowOff>
                  </to>
                </anchor>
              </controlPr>
            </control>
          </mc:Choice>
        </mc:AlternateContent>
        <mc:AlternateContent xmlns:mc="http://schemas.openxmlformats.org/markup-compatibility/2006">
          <mc:Choice Requires="x14">
            <control shapeId="1039" r:id="rId16" name="Check Box 15">
              <controlPr defaultSize="0" autoFill="0" autoLine="0" autoPict="0">
                <anchor moveWithCells="1">
                  <from>
                    <xdr:col>3</xdr:col>
                    <xdr:colOff>228600</xdr:colOff>
                    <xdr:row>30</xdr:row>
                    <xdr:rowOff>0</xdr:rowOff>
                  </from>
                  <to>
                    <xdr:col>5</xdr:col>
                    <xdr:colOff>403860</xdr:colOff>
                    <xdr:row>30</xdr:row>
                    <xdr:rowOff>228600</xdr:rowOff>
                  </to>
                </anchor>
              </controlPr>
            </control>
          </mc:Choice>
        </mc:AlternateContent>
        <mc:AlternateContent xmlns:mc="http://schemas.openxmlformats.org/markup-compatibility/2006">
          <mc:Choice Requires="x14">
            <control shapeId="1040" r:id="rId17" name="Check Box 16">
              <controlPr defaultSize="0" autoFill="0" autoLine="0" autoPict="0">
                <anchor moveWithCells="1">
                  <from>
                    <xdr:col>3</xdr:col>
                    <xdr:colOff>228600</xdr:colOff>
                    <xdr:row>31</xdr:row>
                    <xdr:rowOff>7620</xdr:rowOff>
                  </from>
                  <to>
                    <xdr:col>5</xdr:col>
                    <xdr:colOff>403860</xdr:colOff>
                    <xdr:row>32</xdr:row>
                    <xdr:rowOff>45720</xdr:rowOff>
                  </to>
                </anchor>
              </controlPr>
            </control>
          </mc:Choice>
        </mc:AlternateContent>
        <mc:AlternateContent xmlns:mc="http://schemas.openxmlformats.org/markup-compatibility/2006">
          <mc:Choice Requires="x14">
            <control shapeId="1041" r:id="rId18" name="Check Box 17">
              <controlPr defaultSize="0" autoFill="0" autoLine="0" autoPict="0">
                <anchor moveWithCells="1">
                  <from>
                    <xdr:col>3</xdr:col>
                    <xdr:colOff>228600</xdr:colOff>
                    <xdr:row>32</xdr:row>
                    <xdr:rowOff>76200</xdr:rowOff>
                  </from>
                  <to>
                    <xdr:col>5</xdr:col>
                    <xdr:colOff>822960</xdr:colOff>
                    <xdr:row>33</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'Backup Info'!$A$27:$A$28</xm:f>
          </x14:formula1>
          <xm:sqref>G24</xm:sqref>
        </x14:dataValidation>
        <x14:dataValidation type="list" allowBlank="1" showInputMessage="1" showErrorMessage="1">
          <x14:formula1>
            <xm:f>'Backup Info'!$A$31:$A$32</xm:f>
          </x14:formula1>
          <xm:sqref>I24</xm:sqref>
        </x14:dataValidation>
        <x14:dataValidation type="list" allowBlank="1" showInputMessage="1" showErrorMessage="1">
          <x14:formula1>
            <xm:f>'Backup Info'!$A$22:$A$24</xm:f>
          </x14:formula1>
          <xm:sqref>G21:H21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J57"/>
  <sheetViews>
    <sheetView zoomScaleNormal="100" workbookViewId="0">
      <pane xSplit="4" topLeftCell="E1" activePane="topRight" state="frozen"/>
      <selection activeCell="A25" sqref="A25"/>
      <selection pane="topRight" activeCell="E28" sqref="E28"/>
    </sheetView>
  </sheetViews>
  <sheetFormatPr defaultRowHeight="14.4" x14ac:dyDescent="0.3"/>
  <cols>
    <col min="1" max="1" width="19.5546875" customWidth="1"/>
    <col min="2" max="2" width="9.5546875" bestFit="1" customWidth="1"/>
    <col min="3" max="3" width="2.33203125" customWidth="1"/>
    <col min="4" max="4" width="19.109375" customWidth="1"/>
    <col min="5" max="5" width="11.6640625" customWidth="1"/>
    <col min="6" max="6" width="0.6640625" customWidth="1"/>
    <col min="7" max="7" width="14" style="55" customWidth="1"/>
    <col min="8" max="8" width="0.6640625" style="55" customWidth="1"/>
    <col min="9" max="9" width="15.109375" customWidth="1"/>
    <col min="10" max="10" width="2.109375" customWidth="1"/>
    <col min="11" max="11" width="19.109375" customWidth="1"/>
    <col min="12" max="12" width="9.5546875" bestFit="1" customWidth="1"/>
    <col min="13" max="13" width="2" bestFit="1" customWidth="1"/>
    <col min="14" max="14" width="0" hidden="1" customWidth="1"/>
    <col min="15" max="15" width="10.88671875" customWidth="1"/>
    <col min="16" max="16" width="1.44140625" customWidth="1"/>
    <col min="17" max="17" width="15.109375" style="55" customWidth="1"/>
    <col min="18" max="18" width="1.44140625" style="55" customWidth="1"/>
    <col min="19" max="19" width="14.88671875" customWidth="1"/>
    <col min="20" max="20" width="1.33203125" customWidth="1"/>
    <col min="21" max="21" width="18.33203125" bestFit="1" customWidth="1"/>
    <col min="23" max="23" width="1.88671875" customWidth="1"/>
    <col min="24" max="24" width="18.44140625" hidden="1" customWidth="1"/>
    <col min="25" max="25" width="11" customWidth="1"/>
    <col min="26" max="26" width="1.6640625" customWidth="1"/>
    <col min="27" max="27" width="14.44140625" style="55" customWidth="1"/>
    <col min="28" max="28" width="1.6640625" style="55" customWidth="1"/>
    <col min="29" max="29" width="14.5546875" customWidth="1"/>
    <col min="30" max="30" width="1" customWidth="1"/>
    <col min="31" max="31" width="18.33203125" bestFit="1" customWidth="1"/>
    <col min="32" max="32" width="11.5546875" bestFit="1" customWidth="1"/>
    <col min="33" max="33" width="3.5546875" customWidth="1"/>
    <col min="34" max="34" width="18.44140625" hidden="1" customWidth="1"/>
    <col min="35" max="35" width="11.5546875" bestFit="1" customWidth="1"/>
    <col min="36" max="36" width="1.109375" style="55" customWidth="1"/>
    <col min="37" max="37" width="16" style="55" customWidth="1"/>
    <col min="38" max="38" width="2.88671875" customWidth="1"/>
    <col min="39" max="39" width="14.44140625" customWidth="1"/>
    <col min="40" max="40" width="2.44140625" customWidth="1"/>
    <col min="41" max="41" width="18.33203125" bestFit="1" customWidth="1"/>
    <col min="42" max="42" width="11.5546875" bestFit="1" customWidth="1"/>
    <col min="43" max="43" width="3.5546875" customWidth="1"/>
    <col min="44" max="44" width="18.44140625" hidden="1" customWidth="1"/>
    <col min="45" max="45" width="11.5546875" bestFit="1" customWidth="1"/>
    <col min="46" max="46" width="1.88671875" style="55" customWidth="1"/>
    <col min="47" max="47" width="11.5546875" style="55" customWidth="1"/>
    <col min="48" max="48" width="2.88671875" customWidth="1"/>
    <col min="49" max="49" width="14.44140625" customWidth="1"/>
    <col min="50" max="50" width="2.44140625" customWidth="1"/>
    <col min="51" max="51" width="18.33203125" bestFit="1" customWidth="1"/>
    <col min="52" max="52" width="11.5546875" bestFit="1" customWidth="1"/>
    <col min="53" max="53" width="3.5546875" customWidth="1"/>
    <col min="54" max="54" width="18.44140625" hidden="1" customWidth="1"/>
    <col min="55" max="55" width="11.5546875" bestFit="1" customWidth="1"/>
    <col min="56" max="56" width="2.33203125" style="55" customWidth="1"/>
    <col min="57" max="57" width="11.5546875" style="55" customWidth="1"/>
    <col min="58" max="58" width="2.88671875" customWidth="1"/>
    <col min="59" max="59" width="14.44140625" customWidth="1"/>
    <col min="60" max="60" width="2.44140625" customWidth="1"/>
    <col min="61" max="61" width="18.33203125" bestFit="1" customWidth="1"/>
    <col min="62" max="62" width="11.5546875" bestFit="1" customWidth="1"/>
    <col min="63" max="63" width="3.5546875" customWidth="1"/>
    <col min="64" max="64" width="18.44140625" hidden="1" customWidth="1"/>
    <col min="65" max="65" width="11.5546875" bestFit="1" customWidth="1"/>
    <col min="66" max="66" width="1.109375" style="55" customWidth="1"/>
    <col min="67" max="67" width="11.5546875" style="55" customWidth="1"/>
    <col min="68" max="68" width="2.88671875" customWidth="1"/>
    <col min="69" max="69" width="14.44140625" customWidth="1"/>
    <col min="70" max="70" width="2.44140625" customWidth="1"/>
    <col min="71" max="71" width="18.33203125" bestFit="1" customWidth="1"/>
    <col min="72" max="72" width="11.5546875" bestFit="1" customWidth="1"/>
    <col min="73" max="73" width="3.5546875" customWidth="1"/>
    <col min="74" max="74" width="18.44140625" hidden="1" customWidth="1"/>
    <col min="75" max="75" width="11.5546875" bestFit="1" customWidth="1"/>
    <col min="76" max="76" width="1.109375" style="55" customWidth="1"/>
    <col min="77" max="77" width="11.5546875" style="55" customWidth="1"/>
    <col min="78" max="78" width="1.5546875" customWidth="1"/>
    <col min="79" max="79" width="14.44140625" customWidth="1"/>
    <col min="80" max="80" width="2.44140625" customWidth="1"/>
    <col min="81" max="81" width="18.33203125" bestFit="1" customWidth="1"/>
    <col min="82" max="82" width="11.5546875" bestFit="1" customWidth="1"/>
    <col min="83" max="83" width="3.5546875" customWidth="1"/>
    <col min="84" max="84" width="18.44140625" hidden="1" customWidth="1"/>
    <col min="85" max="85" width="11.5546875" bestFit="1" customWidth="1"/>
    <col min="86" max="86" width="2.44140625" style="55" customWidth="1"/>
    <col min="87" max="87" width="14.109375" style="55" customWidth="1"/>
    <col min="88" max="88" width="2.88671875" customWidth="1"/>
    <col min="89" max="89" width="14.44140625" customWidth="1"/>
    <col min="90" max="90" width="2.44140625" customWidth="1"/>
    <col min="91" max="91" width="18.33203125" bestFit="1" customWidth="1"/>
    <col min="92" max="92" width="11.5546875" bestFit="1" customWidth="1"/>
    <col min="93" max="93" width="3.5546875" customWidth="1"/>
    <col min="94" max="94" width="18.44140625" hidden="1" customWidth="1"/>
    <col min="95" max="95" width="11.88671875" customWidth="1"/>
    <col min="96" max="96" width="1.5546875" style="55" customWidth="1"/>
    <col min="97" max="97" width="11.88671875" style="55" customWidth="1"/>
    <col min="98" max="98" width="2.88671875" customWidth="1"/>
    <col min="99" max="99" width="14.44140625" customWidth="1"/>
    <col min="100" max="100" width="2.44140625" customWidth="1"/>
    <col min="101" max="101" width="18.33203125" bestFit="1" customWidth="1"/>
    <col min="102" max="102" width="11.5546875" bestFit="1" customWidth="1"/>
    <col min="103" max="103" width="3.5546875" customWidth="1"/>
    <col min="104" max="104" width="18.44140625" hidden="1" customWidth="1"/>
    <col min="105" max="105" width="11.5546875" bestFit="1" customWidth="1"/>
    <col min="106" max="106" width="1.88671875" style="55" customWidth="1"/>
    <col min="107" max="107" width="13.33203125" style="55" customWidth="1"/>
    <col min="108" max="108" width="2.88671875" customWidth="1"/>
    <col min="109" max="109" width="14.44140625" customWidth="1"/>
    <col min="110" max="110" width="2.44140625" customWidth="1"/>
    <col min="111" max="111" width="18.33203125" bestFit="1" customWidth="1"/>
    <col min="112" max="112" width="11.5546875" bestFit="1" customWidth="1"/>
    <col min="113" max="113" width="3.5546875" customWidth="1"/>
    <col min="114" max="114" width="18.44140625" hidden="1" customWidth="1"/>
    <col min="115" max="115" width="11.5546875" bestFit="1" customWidth="1"/>
    <col min="116" max="116" width="2.33203125" style="55" customWidth="1"/>
    <col min="117" max="117" width="13.88671875" style="55" customWidth="1"/>
    <col min="118" max="118" width="2.88671875" customWidth="1"/>
    <col min="119" max="119" width="14.44140625" customWidth="1"/>
    <col min="120" max="120" width="2.44140625" customWidth="1"/>
    <col min="121" max="121" width="18.33203125" bestFit="1" customWidth="1"/>
    <col min="122" max="122" width="11.5546875" bestFit="1" customWidth="1"/>
    <col min="123" max="123" width="3.5546875" customWidth="1"/>
    <col min="124" max="124" width="18.44140625" hidden="1" customWidth="1"/>
    <col min="125" max="125" width="11.5546875" bestFit="1" customWidth="1"/>
    <col min="126" max="126" width="1.6640625" style="55" customWidth="1"/>
    <col min="127" max="127" width="15.33203125" style="55" customWidth="1"/>
    <col min="128" max="128" width="2.88671875" customWidth="1"/>
    <col min="129" max="129" width="14.44140625" customWidth="1"/>
    <col min="130" max="130" width="2.44140625" customWidth="1"/>
    <col min="131" max="131" width="18.33203125" bestFit="1" customWidth="1"/>
    <col min="133" max="133" width="2.5546875" customWidth="1"/>
    <col min="134" max="134" width="0" hidden="1" customWidth="1"/>
    <col min="135" max="135" width="11.5546875" customWidth="1"/>
    <col min="136" max="136" width="2.109375" style="55" customWidth="1"/>
    <col min="137" max="137" width="11.5546875" style="55" customWidth="1"/>
    <col min="138" max="138" width="1.109375" customWidth="1"/>
    <col min="139" max="139" width="14.44140625" customWidth="1"/>
  </cols>
  <sheetData>
    <row r="1" spans="1:140" x14ac:dyDescent="0.3">
      <c r="A1" s="128" t="s">
        <v>47</v>
      </c>
      <c r="B1" s="128"/>
      <c r="C1" s="128"/>
      <c r="D1" s="128"/>
      <c r="E1" s="128"/>
      <c r="F1" s="128"/>
      <c r="G1" s="128"/>
      <c r="H1" s="128"/>
      <c r="I1" s="128"/>
      <c r="K1" s="129" t="s">
        <v>48</v>
      </c>
      <c r="L1" s="129"/>
      <c r="M1" s="129"/>
      <c r="N1" s="129"/>
      <c r="O1" s="129"/>
      <c r="P1" s="129"/>
      <c r="Q1" s="129"/>
      <c r="R1" s="129"/>
      <c r="S1" s="129"/>
      <c r="U1" s="130" t="s">
        <v>49</v>
      </c>
      <c r="V1" s="130"/>
      <c r="W1" s="130"/>
      <c r="X1" s="130"/>
      <c r="Y1" s="130"/>
      <c r="Z1" s="130"/>
      <c r="AA1" s="130"/>
      <c r="AB1" s="130"/>
      <c r="AC1" s="130"/>
      <c r="AE1" s="135" t="s">
        <v>51</v>
      </c>
      <c r="AF1" s="135"/>
      <c r="AG1" s="135"/>
      <c r="AH1" s="135"/>
      <c r="AI1" s="135"/>
      <c r="AJ1" s="135"/>
      <c r="AK1" s="135"/>
      <c r="AL1" s="135"/>
      <c r="AM1" s="135"/>
      <c r="AO1" s="131" t="s">
        <v>50</v>
      </c>
      <c r="AP1" s="131"/>
      <c r="AQ1" s="131"/>
      <c r="AR1" s="131"/>
      <c r="AS1" s="131"/>
      <c r="AT1" s="131"/>
      <c r="AU1" s="131"/>
      <c r="AV1" s="131"/>
      <c r="AW1" s="131"/>
      <c r="AY1" s="138" t="s">
        <v>40</v>
      </c>
      <c r="AZ1" s="138"/>
      <c r="BA1" s="138"/>
      <c r="BB1" s="138"/>
      <c r="BC1" s="138"/>
      <c r="BD1" s="138"/>
      <c r="BE1" s="138"/>
      <c r="BF1" s="138"/>
      <c r="BG1" s="138"/>
      <c r="BI1" s="134" t="s">
        <v>52</v>
      </c>
      <c r="BJ1" s="134"/>
      <c r="BK1" s="134"/>
      <c r="BL1" s="134"/>
      <c r="BM1" s="134"/>
      <c r="BN1" s="134"/>
      <c r="BO1" s="134"/>
      <c r="BP1" s="134"/>
      <c r="BQ1" s="134"/>
      <c r="BS1" s="137" t="s">
        <v>53</v>
      </c>
      <c r="BT1" s="137"/>
      <c r="BU1" s="137"/>
      <c r="BV1" s="137"/>
      <c r="BW1" s="137"/>
      <c r="BX1" s="137"/>
      <c r="BY1" s="137"/>
      <c r="BZ1" s="137"/>
      <c r="CA1" s="137"/>
      <c r="CC1" s="136" t="s">
        <v>54</v>
      </c>
      <c r="CD1" s="136"/>
      <c r="CE1" s="136"/>
      <c r="CF1" s="136"/>
      <c r="CG1" s="136"/>
      <c r="CH1" s="136"/>
      <c r="CI1" s="136"/>
      <c r="CJ1" s="136"/>
      <c r="CK1" s="136"/>
      <c r="CM1" s="135" t="s">
        <v>55</v>
      </c>
      <c r="CN1" s="135"/>
      <c r="CO1" s="135"/>
      <c r="CP1" s="135"/>
      <c r="CQ1" s="135"/>
      <c r="CR1" s="135"/>
      <c r="CS1" s="135"/>
      <c r="CT1" s="135"/>
      <c r="CU1" s="135"/>
      <c r="CW1" s="134" t="s">
        <v>56</v>
      </c>
      <c r="CX1" s="134"/>
      <c r="CY1" s="134"/>
      <c r="CZ1" s="134"/>
      <c r="DA1" s="134"/>
      <c r="DB1" s="134"/>
      <c r="DC1" s="134"/>
      <c r="DD1" s="134"/>
      <c r="DE1" s="134"/>
      <c r="DG1" s="133" t="s">
        <v>57</v>
      </c>
      <c r="DH1" s="133"/>
      <c r="DI1" s="133"/>
      <c r="DJ1" s="133"/>
      <c r="DK1" s="133"/>
      <c r="DL1" s="133"/>
      <c r="DM1" s="133"/>
      <c r="DN1" s="133"/>
      <c r="DO1" s="133"/>
      <c r="DQ1" s="132" t="s">
        <v>58</v>
      </c>
      <c r="DR1" s="132"/>
      <c r="DS1" s="132"/>
      <c r="DT1" s="132"/>
      <c r="DU1" s="132"/>
      <c r="DV1" s="132"/>
      <c r="DW1" s="132"/>
      <c r="DX1" s="132"/>
      <c r="DY1" s="132"/>
      <c r="EA1" s="131" t="s">
        <v>59</v>
      </c>
      <c r="EB1" s="131"/>
      <c r="EC1" s="131"/>
      <c r="ED1" s="131"/>
      <c r="EE1" s="131"/>
      <c r="EF1" s="131"/>
      <c r="EG1" s="131"/>
      <c r="EH1" s="131"/>
      <c r="EI1" s="131"/>
    </row>
    <row r="2" spans="1:140" ht="43.2" x14ac:dyDescent="0.3">
      <c r="A2" s="48" t="s">
        <v>31</v>
      </c>
      <c r="B2" s="47"/>
      <c r="C2" s="47"/>
      <c r="D2" s="47"/>
      <c r="E2" s="47" t="s">
        <v>30</v>
      </c>
      <c r="F2" s="47"/>
      <c r="G2" s="47" t="s">
        <v>78</v>
      </c>
      <c r="H2" s="47"/>
      <c r="I2" s="47" t="s">
        <v>79</v>
      </c>
      <c r="J2" s="49"/>
      <c r="K2" s="48" t="s">
        <v>31</v>
      </c>
      <c r="L2" s="47"/>
      <c r="M2" s="47"/>
      <c r="N2" s="47"/>
      <c r="O2" s="47" t="s">
        <v>30</v>
      </c>
      <c r="P2" s="47"/>
      <c r="Q2" s="47" t="s">
        <v>78</v>
      </c>
      <c r="R2" s="47"/>
      <c r="S2" s="47" t="s">
        <v>79</v>
      </c>
      <c r="T2" s="49"/>
      <c r="U2" s="48" t="s">
        <v>31</v>
      </c>
      <c r="V2" s="47"/>
      <c r="W2" s="47"/>
      <c r="X2" s="47"/>
      <c r="Y2" s="47" t="s">
        <v>30</v>
      </c>
      <c r="Z2" s="47"/>
      <c r="AA2" s="47" t="s">
        <v>78</v>
      </c>
      <c r="AB2" s="47"/>
      <c r="AC2" s="47" t="s">
        <v>79</v>
      </c>
      <c r="AE2" s="50" t="s">
        <v>31</v>
      </c>
      <c r="AI2" s="49" t="s">
        <v>30</v>
      </c>
      <c r="AJ2" s="96"/>
      <c r="AK2" s="47" t="s">
        <v>78</v>
      </c>
      <c r="AL2" s="47"/>
      <c r="AM2" s="47" t="s">
        <v>79</v>
      </c>
      <c r="AO2" s="50" t="s">
        <v>31</v>
      </c>
      <c r="AS2" s="49" t="s">
        <v>30</v>
      </c>
      <c r="AT2" s="96"/>
      <c r="AU2" s="47" t="s">
        <v>78</v>
      </c>
      <c r="AV2" s="47"/>
      <c r="AW2" s="47" t="s">
        <v>79</v>
      </c>
      <c r="AY2" s="50" t="s">
        <v>31</v>
      </c>
      <c r="BC2" s="49" t="s">
        <v>30</v>
      </c>
      <c r="BD2" s="96"/>
      <c r="BE2" s="47" t="s">
        <v>78</v>
      </c>
      <c r="BF2" s="47"/>
      <c r="BG2" s="47" t="s">
        <v>79</v>
      </c>
      <c r="BI2" s="50" t="s">
        <v>31</v>
      </c>
      <c r="BM2" s="49" t="s">
        <v>30</v>
      </c>
      <c r="BN2" s="96"/>
      <c r="BO2" s="47" t="s">
        <v>78</v>
      </c>
      <c r="BP2" s="47"/>
      <c r="BQ2" s="47" t="s">
        <v>79</v>
      </c>
      <c r="BS2" s="50" t="s">
        <v>31</v>
      </c>
      <c r="BW2" s="49" t="s">
        <v>30</v>
      </c>
      <c r="BX2" s="96"/>
      <c r="BY2" s="47" t="s">
        <v>78</v>
      </c>
      <c r="BZ2" s="47"/>
      <c r="CA2" s="47" t="s">
        <v>79</v>
      </c>
      <c r="CC2" s="50" t="s">
        <v>31</v>
      </c>
      <c r="CG2" s="49" t="s">
        <v>30</v>
      </c>
      <c r="CH2" s="96"/>
      <c r="CI2" s="47" t="s">
        <v>78</v>
      </c>
      <c r="CJ2" s="47"/>
      <c r="CK2" s="47" t="s">
        <v>79</v>
      </c>
      <c r="CM2" s="50" t="s">
        <v>31</v>
      </c>
      <c r="CQ2" s="49" t="s">
        <v>30</v>
      </c>
      <c r="CR2" s="49"/>
      <c r="CS2" s="47" t="s">
        <v>78</v>
      </c>
      <c r="CT2" s="47"/>
      <c r="CU2" s="47" t="s">
        <v>79</v>
      </c>
      <c r="CW2" s="50" t="s">
        <v>31</v>
      </c>
      <c r="DA2" s="49" t="s">
        <v>30</v>
      </c>
      <c r="DB2" s="96"/>
      <c r="DC2" s="47" t="s">
        <v>78</v>
      </c>
      <c r="DD2" s="47"/>
      <c r="DE2" s="47" t="s">
        <v>79</v>
      </c>
      <c r="DG2" s="50" t="s">
        <v>31</v>
      </c>
      <c r="DK2" s="49" t="s">
        <v>30</v>
      </c>
      <c r="DL2" s="96"/>
      <c r="DM2" s="47" t="s">
        <v>78</v>
      </c>
      <c r="DN2" s="47"/>
      <c r="DO2" s="47" t="s">
        <v>79</v>
      </c>
      <c r="DQ2" s="50" t="s">
        <v>31</v>
      </c>
      <c r="DU2" s="49" t="s">
        <v>30</v>
      </c>
      <c r="DV2" s="96"/>
      <c r="DW2" s="47" t="s">
        <v>78</v>
      </c>
      <c r="DX2" s="47"/>
      <c r="DY2" s="47" t="s">
        <v>79</v>
      </c>
      <c r="EA2" s="50" t="s">
        <v>31</v>
      </c>
      <c r="EE2" s="49" t="s">
        <v>30</v>
      </c>
      <c r="EF2" s="96"/>
      <c r="EG2" s="47" t="s">
        <v>78</v>
      </c>
      <c r="EH2" s="47"/>
      <c r="EI2" s="47" t="s">
        <v>79</v>
      </c>
    </row>
    <row r="3" spans="1:140" x14ac:dyDescent="0.3">
      <c r="A3" t="s">
        <v>2</v>
      </c>
      <c r="B3" s="2">
        <f>+'Overall Calculator'!C22</f>
        <v>0</v>
      </c>
      <c r="D3" t="s">
        <v>5</v>
      </c>
      <c r="E3" s="4">
        <f>'Overall Calculator'!$C$22</f>
        <v>0</v>
      </c>
      <c r="F3" s="2"/>
      <c r="G3" s="4">
        <f>'Overall Calculator'!$C$22</f>
        <v>0</v>
      </c>
      <c r="H3" s="2"/>
      <c r="I3" s="4">
        <f>'Overall Calculator'!$C$22</f>
        <v>0</v>
      </c>
      <c r="K3" t="s">
        <v>2</v>
      </c>
      <c r="L3" s="2">
        <f>+'Overall Calculator'!C22</f>
        <v>0</v>
      </c>
      <c r="N3" t="s">
        <v>5</v>
      </c>
      <c r="O3" s="4">
        <f>'Overall Calculator'!C22</f>
        <v>0</v>
      </c>
      <c r="P3" s="2"/>
      <c r="Q3" s="4">
        <f>'Overall Calculator'!$C$22</f>
        <v>0</v>
      </c>
      <c r="R3" s="2"/>
      <c r="S3" s="4">
        <f>'Overall Calculator'!$C$22</f>
        <v>0</v>
      </c>
      <c r="U3" t="s">
        <v>2</v>
      </c>
      <c r="V3" s="2">
        <f>+'Overall Calculator'!$C$22</f>
        <v>0</v>
      </c>
      <c r="X3" t="s">
        <v>5</v>
      </c>
      <c r="Y3" s="4">
        <f>'Overall Calculator'!$C$22</f>
        <v>0</v>
      </c>
      <c r="Z3" s="2"/>
      <c r="AA3" s="4">
        <f>'Overall Calculator'!$C$22</f>
        <v>0</v>
      </c>
      <c r="AB3" s="2"/>
      <c r="AC3" s="4">
        <f>'Overall Calculator'!$C$22</f>
        <v>0</v>
      </c>
      <c r="AE3" t="s">
        <v>2</v>
      </c>
      <c r="AF3" s="2">
        <f>+'Overall Calculator'!$C$22</f>
        <v>0</v>
      </c>
      <c r="AH3" t="s">
        <v>5</v>
      </c>
      <c r="AI3" s="4">
        <f>'Overall Calculator'!$C$22</f>
        <v>0</v>
      </c>
      <c r="AJ3" s="53"/>
      <c r="AK3" s="4">
        <f>'Overall Calculator'!$C$22</f>
        <v>0</v>
      </c>
      <c r="AL3" s="2"/>
      <c r="AM3" s="4">
        <f>'Overall Calculator'!$C$22</f>
        <v>0</v>
      </c>
      <c r="AO3" t="s">
        <v>2</v>
      </c>
      <c r="AP3" s="2">
        <f>+'Overall Calculator'!$C$22</f>
        <v>0</v>
      </c>
      <c r="AR3" t="s">
        <v>5</v>
      </c>
      <c r="AS3" s="4">
        <f>'Overall Calculator'!$C$22</f>
        <v>0</v>
      </c>
      <c r="AT3" s="53"/>
      <c r="AU3" s="4">
        <f>'Overall Calculator'!$C$22</f>
        <v>0</v>
      </c>
      <c r="AV3" s="2"/>
      <c r="AW3" s="4">
        <f>'Overall Calculator'!$C$22</f>
        <v>0</v>
      </c>
      <c r="AY3" t="s">
        <v>2</v>
      </c>
      <c r="AZ3" s="2">
        <f>+'Overall Calculator'!$C$22</f>
        <v>0</v>
      </c>
      <c r="BB3" t="s">
        <v>5</v>
      </c>
      <c r="BC3" s="4">
        <f>'Overall Calculator'!$C$22</f>
        <v>0</v>
      </c>
      <c r="BD3" s="53"/>
      <c r="BE3" s="4">
        <f>'Overall Calculator'!$C$22</f>
        <v>0</v>
      </c>
      <c r="BF3" s="2"/>
      <c r="BG3" s="4">
        <f>'Overall Calculator'!$C$22</f>
        <v>0</v>
      </c>
      <c r="BI3" t="s">
        <v>2</v>
      </c>
      <c r="BJ3" s="2">
        <f>+'Overall Calculator'!$C$22</f>
        <v>0</v>
      </c>
      <c r="BL3" t="s">
        <v>5</v>
      </c>
      <c r="BM3" s="4">
        <f>'Overall Calculator'!$C$22</f>
        <v>0</v>
      </c>
      <c r="BN3" s="53"/>
      <c r="BO3" s="4">
        <f>'Overall Calculator'!$C$22</f>
        <v>0</v>
      </c>
      <c r="BP3" s="2"/>
      <c r="BQ3" s="4">
        <f>'Overall Calculator'!$C$22</f>
        <v>0</v>
      </c>
      <c r="BS3" t="s">
        <v>2</v>
      </c>
      <c r="BT3" s="2">
        <f>+'Overall Calculator'!$C$22</f>
        <v>0</v>
      </c>
      <c r="BV3" t="s">
        <v>5</v>
      </c>
      <c r="BW3" s="4">
        <f>'Overall Calculator'!$C$22</f>
        <v>0</v>
      </c>
      <c r="BX3" s="53"/>
      <c r="BY3" s="4">
        <f>'Overall Calculator'!$C$22</f>
        <v>0</v>
      </c>
      <c r="BZ3" s="2"/>
      <c r="CA3" s="4">
        <f>'Overall Calculator'!$C$22</f>
        <v>0</v>
      </c>
      <c r="CC3" t="s">
        <v>2</v>
      </c>
      <c r="CD3" s="2">
        <f>+'Overall Calculator'!$C$22</f>
        <v>0</v>
      </c>
      <c r="CF3" t="s">
        <v>5</v>
      </c>
      <c r="CG3" s="4">
        <f>'Overall Calculator'!$C$22</f>
        <v>0</v>
      </c>
      <c r="CH3" s="53"/>
      <c r="CI3" s="4">
        <f>'Overall Calculator'!$C$22</f>
        <v>0</v>
      </c>
      <c r="CJ3" s="2"/>
      <c r="CK3" s="4">
        <f>'Overall Calculator'!$C$22</f>
        <v>0</v>
      </c>
      <c r="CM3" t="s">
        <v>2</v>
      </c>
      <c r="CN3" s="2">
        <f>+'Overall Calculator'!$C$22</f>
        <v>0</v>
      </c>
      <c r="CP3" t="s">
        <v>5</v>
      </c>
      <c r="CQ3" s="53">
        <f>'Overall Calculator'!$C$22</f>
        <v>0</v>
      </c>
      <c r="CR3" s="53"/>
      <c r="CS3" s="4">
        <f>'Overall Calculator'!$C$22</f>
        <v>0</v>
      </c>
      <c r="CT3" s="2"/>
      <c r="CU3" s="4">
        <f>'Overall Calculator'!$C$22</f>
        <v>0</v>
      </c>
      <c r="CW3" t="s">
        <v>2</v>
      </c>
      <c r="CX3" s="2">
        <f>+'Overall Calculator'!$C$22</f>
        <v>0</v>
      </c>
      <c r="CZ3" t="s">
        <v>5</v>
      </c>
      <c r="DA3" s="4">
        <f>'Overall Calculator'!$C$22</f>
        <v>0</v>
      </c>
      <c r="DB3" s="53"/>
      <c r="DC3" s="4">
        <f>'Overall Calculator'!$C$22</f>
        <v>0</v>
      </c>
      <c r="DD3" s="2"/>
      <c r="DE3" s="4">
        <f>'Overall Calculator'!$C$22</f>
        <v>0</v>
      </c>
      <c r="DG3" t="s">
        <v>2</v>
      </c>
      <c r="DH3" s="2">
        <f>+'Overall Calculator'!$C$22</f>
        <v>0</v>
      </c>
      <c r="DJ3" t="s">
        <v>5</v>
      </c>
      <c r="DK3" s="4">
        <f>'Overall Calculator'!$C$22</f>
        <v>0</v>
      </c>
      <c r="DL3" s="53"/>
      <c r="DM3" s="4">
        <f>'Overall Calculator'!$C$22</f>
        <v>0</v>
      </c>
      <c r="DN3" s="2"/>
      <c r="DO3" s="4">
        <f>'Overall Calculator'!$C$22</f>
        <v>0</v>
      </c>
      <c r="DQ3" t="s">
        <v>2</v>
      </c>
      <c r="DR3" s="2">
        <f>+'Overall Calculator'!$C$22</f>
        <v>0</v>
      </c>
      <c r="DT3" t="s">
        <v>5</v>
      </c>
      <c r="DU3" s="4">
        <f>'Overall Calculator'!$C$22</f>
        <v>0</v>
      </c>
      <c r="DV3" s="53"/>
      <c r="DW3" s="4">
        <f>'Overall Calculator'!$C$22</f>
        <v>0</v>
      </c>
      <c r="DX3" s="2"/>
      <c r="DY3" s="4">
        <f>'Overall Calculator'!$C$22</f>
        <v>0</v>
      </c>
      <c r="EA3" t="s">
        <v>2</v>
      </c>
      <c r="EB3" s="51">
        <f>+'Overall Calculator'!C22</f>
        <v>0</v>
      </c>
      <c r="ED3" t="s">
        <v>5</v>
      </c>
      <c r="EE3" s="4">
        <f>'Overall Calculator'!C22</f>
        <v>0</v>
      </c>
      <c r="EF3" s="53"/>
      <c r="EG3" s="4">
        <f>'Overall Calculator'!$C$22</f>
        <v>0</v>
      </c>
      <c r="EH3" s="2"/>
      <c r="EI3" s="4">
        <f>'Overall Calculator'!$C$22</f>
        <v>0</v>
      </c>
    </row>
    <row r="4" spans="1:140" x14ac:dyDescent="0.3">
      <c r="A4" s="12" t="s">
        <v>39</v>
      </c>
      <c r="B4" s="53" t="b">
        <v>0</v>
      </c>
      <c r="C4" s="12">
        <f>IF(B4=TRUE,1,0)</f>
        <v>0</v>
      </c>
      <c r="D4" s="12"/>
      <c r="E4" s="53">
        <v>45000</v>
      </c>
      <c r="F4" s="53"/>
      <c r="G4" s="53">
        <v>0</v>
      </c>
      <c r="H4" s="53"/>
      <c r="I4" s="53">
        <v>0</v>
      </c>
      <c r="J4" s="12"/>
      <c r="K4" s="12" t="s">
        <v>39</v>
      </c>
      <c r="L4" s="53" t="b">
        <v>0</v>
      </c>
      <c r="M4">
        <f>IF(L4=TRUE,1,0)</f>
        <v>0</v>
      </c>
      <c r="O4" s="2">
        <v>45000</v>
      </c>
      <c r="P4" s="2"/>
      <c r="Q4" s="53">
        <v>0</v>
      </c>
      <c r="R4" s="53"/>
      <c r="S4" s="53">
        <v>0</v>
      </c>
      <c r="U4" s="12" t="s">
        <v>39</v>
      </c>
      <c r="V4" s="53" t="b">
        <v>0</v>
      </c>
      <c r="W4">
        <f>IF(V4=TRUE,1,0)</f>
        <v>0</v>
      </c>
      <c r="Y4" s="2">
        <v>45000</v>
      </c>
      <c r="Z4" s="2"/>
      <c r="AA4" s="53">
        <v>0</v>
      </c>
      <c r="AB4" s="53"/>
      <c r="AC4" s="53">
        <v>0</v>
      </c>
      <c r="AE4" s="12" t="s">
        <v>39</v>
      </c>
      <c r="AF4" s="12" t="b">
        <v>0</v>
      </c>
      <c r="AG4">
        <f>IF(AF4=TRUE,1,0)</f>
        <v>0</v>
      </c>
      <c r="AI4" s="2">
        <v>45000</v>
      </c>
      <c r="AJ4" s="53"/>
      <c r="AK4" s="53">
        <v>0</v>
      </c>
      <c r="AL4" s="53"/>
      <c r="AM4" s="53">
        <v>0</v>
      </c>
      <c r="AO4" s="12" t="s">
        <v>39</v>
      </c>
      <c r="AP4" s="12" t="b">
        <v>0</v>
      </c>
      <c r="AQ4">
        <f>IF(AP4=TRUE,1,0)</f>
        <v>0</v>
      </c>
      <c r="AS4" s="2">
        <v>45000</v>
      </c>
      <c r="AT4" s="53"/>
      <c r="AU4" s="53">
        <v>0</v>
      </c>
      <c r="AV4" s="53"/>
      <c r="AW4" s="53">
        <v>0</v>
      </c>
      <c r="AY4" s="12" t="s">
        <v>39</v>
      </c>
      <c r="AZ4" s="12" t="b">
        <v>0</v>
      </c>
      <c r="BA4">
        <f>IF(AZ4=TRUE,1,0)</f>
        <v>0</v>
      </c>
      <c r="BC4" s="2">
        <v>45000</v>
      </c>
      <c r="BD4" s="53"/>
      <c r="BE4" s="53">
        <v>0</v>
      </c>
      <c r="BF4" s="53"/>
      <c r="BG4" s="53">
        <v>0</v>
      </c>
      <c r="BI4" s="12" t="s">
        <v>39</v>
      </c>
      <c r="BJ4" s="12" t="b">
        <v>0</v>
      </c>
      <c r="BK4">
        <f>IF(BJ4=TRUE,1,0)</f>
        <v>0</v>
      </c>
      <c r="BM4" s="2">
        <v>45000</v>
      </c>
      <c r="BN4" s="53"/>
      <c r="BO4" s="53">
        <v>0</v>
      </c>
      <c r="BP4" s="53"/>
      <c r="BQ4" s="53">
        <v>0</v>
      </c>
      <c r="BS4" s="12" t="s">
        <v>39</v>
      </c>
      <c r="BT4" s="12" t="b">
        <v>0</v>
      </c>
      <c r="BU4">
        <f>IF(BT4=TRUE,1,0)</f>
        <v>0</v>
      </c>
      <c r="BW4" s="2">
        <v>45000</v>
      </c>
      <c r="BX4" s="53"/>
      <c r="BY4" s="53">
        <v>0</v>
      </c>
      <c r="BZ4" s="53"/>
      <c r="CA4" s="53">
        <v>0</v>
      </c>
      <c r="CC4" s="12" t="s">
        <v>39</v>
      </c>
      <c r="CD4" s="12" t="b">
        <v>0</v>
      </c>
      <c r="CE4">
        <f>IF(CD4=TRUE,1,0)</f>
        <v>0</v>
      </c>
      <c r="CG4" s="2">
        <v>45000</v>
      </c>
      <c r="CH4" s="53"/>
      <c r="CI4" s="53">
        <v>0</v>
      </c>
      <c r="CJ4" s="53"/>
      <c r="CK4" s="53">
        <v>0</v>
      </c>
      <c r="CM4" s="12" t="s">
        <v>39</v>
      </c>
      <c r="CN4" s="12" t="b">
        <v>0</v>
      </c>
      <c r="CO4">
        <f>IF(CN4=TRUE,1,0)</f>
        <v>0</v>
      </c>
      <c r="CQ4" s="53">
        <v>45000</v>
      </c>
      <c r="CR4" s="53"/>
      <c r="CS4" s="53">
        <v>0</v>
      </c>
      <c r="CT4" s="53"/>
      <c r="CU4" s="53">
        <v>0</v>
      </c>
      <c r="CW4" s="12" t="s">
        <v>39</v>
      </c>
      <c r="CX4" s="12" t="b">
        <v>0</v>
      </c>
      <c r="CY4">
        <f>IF(CX4=TRUE,1,0)</f>
        <v>0</v>
      </c>
      <c r="DA4" s="2">
        <v>45000</v>
      </c>
      <c r="DB4" s="53"/>
      <c r="DC4" s="53">
        <v>0</v>
      </c>
      <c r="DD4" s="53"/>
      <c r="DE4" s="53">
        <v>0</v>
      </c>
      <c r="DG4" s="12" t="s">
        <v>39</v>
      </c>
      <c r="DH4" s="12" t="b">
        <v>0</v>
      </c>
      <c r="DI4">
        <f>IF(DH4=TRUE,1,0)</f>
        <v>0</v>
      </c>
      <c r="DK4" s="2">
        <v>45000</v>
      </c>
      <c r="DL4" s="53"/>
      <c r="DM4" s="53">
        <v>0</v>
      </c>
      <c r="DN4" s="53"/>
      <c r="DO4" s="53">
        <v>0</v>
      </c>
      <c r="DQ4" s="12" t="s">
        <v>39</v>
      </c>
      <c r="DR4" s="12" t="b">
        <v>0</v>
      </c>
      <c r="DS4">
        <f>IF(DR4=TRUE,1,0)</f>
        <v>0</v>
      </c>
      <c r="DU4" s="2">
        <v>45000</v>
      </c>
      <c r="DV4" s="53"/>
      <c r="DW4" s="53">
        <v>0</v>
      </c>
      <c r="DX4" s="53"/>
      <c r="DY4" s="53">
        <v>0</v>
      </c>
      <c r="EA4" s="12" t="s">
        <v>39</v>
      </c>
      <c r="EB4" s="12" t="b">
        <v>0</v>
      </c>
      <c r="EC4">
        <f>IF(EB4=TRUE,1,0)</f>
        <v>0</v>
      </c>
      <c r="EE4" s="2">
        <v>45000</v>
      </c>
      <c r="EF4" s="53"/>
      <c r="EG4" s="53">
        <v>0</v>
      </c>
      <c r="EH4" s="53"/>
      <c r="EI4" s="53">
        <v>0</v>
      </c>
      <c r="EJ4">
        <f>SUM(C4,M4,W4,AG4,AQ4,BA4,BK4,BU4,CE4,CO4,CY4,DI4,DS4,EC4)</f>
        <v>0</v>
      </c>
    </row>
    <row r="5" spans="1:140" x14ac:dyDescent="0.3">
      <c r="A5" t="s">
        <v>74</v>
      </c>
      <c r="B5">
        <f>IF('Overall Calculator'!G21=A22,1,IF('Overall Calculator'!G21='Backup Info'!A23,2,3))</f>
        <v>1</v>
      </c>
      <c r="E5" s="2">
        <f>E3*0.6</f>
        <v>0</v>
      </c>
      <c r="F5" s="2"/>
      <c r="G5" s="2">
        <v>0</v>
      </c>
      <c r="H5" s="2"/>
      <c r="I5" s="2">
        <v>0</v>
      </c>
      <c r="K5" t="s">
        <v>3</v>
      </c>
      <c r="L5">
        <f>$B$5</f>
        <v>1</v>
      </c>
      <c r="O5" s="2">
        <f>O3*0.6</f>
        <v>0</v>
      </c>
      <c r="P5" s="2"/>
      <c r="Q5" s="2">
        <v>0</v>
      </c>
      <c r="R5" s="2"/>
      <c r="S5" s="2">
        <v>0</v>
      </c>
      <c r="U5" t="s">
        <v>3</v>
      </c>
      <c r="V5" s="55">
        <f>$B$5</f>
        <v>1</v>
      </c>
      <c r="Y5" s="2">
        <f>Y3*0.6</f>
        <v>0</v>
      </c>
      <c r="Z5" s="2"/>
      <c r="AA5" s="2">
        <v>0</v>
      </c>
      <c r="AB5" s="2"/>
      <c r="AC5" s="2">
        <v>0</v>
      </c>
      <c r="AE5" t="s">
        <v>3</v>
      </c>
      <c r="AF5" s="55">
        <f>$B$5</f>
        <v>1</v>
      </c>
      <c r="AI5" s="2">
        <f>AI3*0.6</f>
        <v>0</v>
      </c>
      <c r="AJ5" s="53"/>
      <c r="AK5" s="2">
        <v>0</v>
      </c>
      <c r="AL5" s="2"/>
      <c r="AM5" s="2">
        <v>0</v>
      </c>
      <c r="AO5" t="s">
        <v>3</v>
      </c>
      <c r="AP5" s="55">
        <f>$B$5</f>
        <v>1</v>
      </c>
      <c r="AS5" s="2">
        <f>AS3*0.6</f>
        <v>0</v>
      </c>
      <c r="AT5" s="53"/>
      <c r="AU5" s="2">
        <v>0</v>
      </c>
      <c r="AV5" s="2"/>
      <c r="AW5" s="2">
        <v>0</v>
      </c>
      <c r="AY5" t="s">
        <v>3</v>
      </c>
      <c r="AZ5" s="55">
        <f>$B$5</f>
        <v>1</v>
      </c>
      <c r="BC5" s="2">
        <f>BC3*0.6</f>
        <v>0</v>
      </c>
      <c r="BD5" s="53"/>
      <c r="BE5" s="2">
        <v>0</v>
      </c>
      <c r="BF5" s="2"/>
      <c r="BG5" s="2">
        <v>0</v>
      </c>
      <c r="BI5" t="s">
        <v>3</v>
      </c>
      <c r="BJ5" s="55">
        <f>$B$5</f>
        <v>1</v>
      </c>
      <c r="BM5" s="2">
        <f>BM3*0.6</f>
        <v>0</v>
      </c>
      <c r="BN5" s="53"/>
      <c r="BO5" s="2">
        <v>0</v>
      </c>
      <c r="BP5" s="2"/>
      <c r="BQ5" s="2">
        <v>0</v>
      </c>
      <c r="BS5" t="s">
        <v>3</v>
      </c>
      <c r="BT5" s="55">
        <f>$B$5</f>
        <v>1</v>
      </c>
      <c r="BW5" s="2">
        <f>BW3*0.6</f>
        <v>0</v>
      </c>
      <c r="BX5" s="53"/>
      <c r="BY5" s="2">
        <v>0</v>
      </c>
      <c r="BZ5" s="2"/>
      <c r="CA5" s="2">
        <v>0</v>
      </c>
      <c r="CC5" t="s">
        <v>3</v>
      </c>
      <c r="CD5" s="55">
        <f>$B$5</f>
        <v>1</v>
      </c>
      <c r="CG5" s="2">
        <f>CG3*0.6</f>
        <v>0</v>
      </c>
      <c r="CH5" s="53"/>
      <c r="CI5" s="2">
        <v>0</v>
      </c>
      <c r="CJ5" s="2"/>
      <c r="CK5" s="2">
        <v>0</v>
      </c>
      <c r="CM5" t="s">
        <v>3</v>
      </c>
      <c r="CN5" s="55">
        <f>$B$5</f>
        <v>1</v>
      </c>
      <c r="CQ5" s="53">
        <f>CQ3*0.6</f>
        <v>0</v>
      </c>
      <c r="CR5" s="53"/>
      <c r="CS5" s="2">
        <v>0</v>
      </c>
      <c r="CT5" s="2"/>
      <c r="CU5" s="2">
        <v>0</v>
      </c>
      <c r="CW5" t="s">
        <v>3</v>
      </c>
      <c r="CX5" s="55">
        <f>$B$5</f>
        <v>1</v>
      </c>
      <c r="DA5" s="2">
        <f>DA3*0.6</f>
        <v>0</v>
      </c>
      <c r="DB5" s="53"/>
      <c r="DC5" s="2">
        <v>0</v>
      </c>
      <c r="DD5" s="2"/>
      <c r="DE5" s="2">
        <v>0</v>
      </c>
      <c r="DG5" t="s">
        <v>3</v>
      </c>
      <c r="DH5" s="55">
        <f>$B$5</f>
        <v>1</v>
      </c>
      <c r="DK5" s="2">
        <f>DK3*0.6</f>
        <v>0</v>
      </c>
      <c r="DL5" s="53"/>
      <c r="DM5" s="2">
        <v>0</v>
      </c>
      <c r="DN5" s="2"/>
      <c r="DO5" s="2">
        <v>0</v>
      </c>
      <c r="DQ5" t="s">
        <v>3</v>
      </c>
      <c r="DR5" s="55">
        <f>$B$5</f>
        <v>1</v>
      </c>
      <c r="DU5" s="2">
        <f>DU3*0.6</f>
        <v>0</v>
      </c>
      <c r="DV5" s="53"/>
      <c r="DW5" s="2">
        <v>0</v>
      </c>
      <c r="DX5" s="2"/>
      <c r="DY5" s="2">
        <v>0</v>
      </c>
      <c r="EA5" t="s">
        <v>3</v>
      </c>
      <c r="EB5" s="55">
        <f>$B$5</f>
        <v>1</v>
      </c>
      <c r="EE5" s="2">
        <f>EE3*0.6</f>
        <v>0</v>
      </c>
      <c r="EF5" s="53"/>
      <c r="EG5" s="2">
        <v>0</v>
      </c>
      <c r="EH5" s="2"/>
      <c r="EI5" s="2">
        <v>0</v>
      </c>
    </row>
    <row r="6" spans="1:140" s="55" customFormat="1" x14ac:dyDescent="0.3">
      <c r="A6" s="55" t="s">
        <v>68</v>
      </c>
      <c r="B6" s="55">
        <f>IF(AND('Overall Calculator'!$G$24="Yes",B5=1),1,2)</f>
        <v>2</v>
      </c>
      <c r="E6" s="2"/>
      <c r="F6" s="2"/>
      <c r="G6" s="2"/>
      <c r="H6" s="2"/>
      <c r="I6" s="2"/>
      <c r="K6" s="55" t="s">
        <v>68</v>
      </c>
      <c r="L6" s="55">
        <f>$B$6</f>
        <v>2</v>
      </c>
      <c r="O6" s="2"/>
      <c r="P6" s="2"/>
      <c r="Q6" s="2"/>
      <c r="R6" s="2"/>
      <c r="S6" s="2"/>
      <c r="U6" s="55" t="s">
        <v>68</v>
      </c>
      <c r="V6" s="55">
        <f>$B$6</f>
        <v>2</v>
      </c>
      <c r="Y6" s="2"/>
      <c r="Z6" s="2"/>
      <c r="AA6" s="2"/>
      <c r="AB6" s="2"/>
      <c r="AC6" s="2"/>
      <c r="AE6" s="55" t="s">
        <v>68</v>
      </c>
      <c r="AF6" s="55">
        <f>$B$6</f>
        <v>2</v>
      </c>
      <c r="AI6" s="2"/>
      <c r="AJ6" s="53"/>
      <c r="AK6" s="2"/>
      <c r="AL6" s="2"/>
      <c r="AM6" s="2"/>
      <c r="AO6" s="55" t="s">
        <v>68</v>
      </c>
      <c r="AP6" s="55">
        <f>$B$6</f>
        <v>2</v>
      </c>
      <c r="AS6" s="2"/>
      <c r="AT6" s="53"/>
      <c r="AU6" s="2"/>
      <c r="AV6" s="2"/>
      <c r="AW6" s="2"/>
      <c r="AY6" s="55" t="s">
        <v>68</v>
      </c>
      <c r="AZ6" s="55">
        <f>$B$6</f>
        <v>2</v>
      </c>
      <c r="BC6" s="2"/>
      <c r="BD6" s="53"/>
      <c r="BE6" s="2"/>
      <c r="BF6" s="2"/>
      <c r="BG6" s="2"/>
      <c r="BI6" s="55" t="s">
        <v>68</v>
      </c>
      <c r="BJ6" s="55">
        <f>$B$6</f>
        <v>2</v>
      </c>
      <c r="BM6" s="2"/>
      <c r="BN6" s="53"/>
      <c r="BO6" s="2"/>
      <c r="BP6" s="2"/>
      <c r="BQ6" s="2"/>
      <c r="BS6" s="55" t="s">
        <v>68</v>
      </c>
      <c r="BT6" s="55">
        <f>$B$6</f>
        <v>2</v>
      </c>
      <c r="BW6" s="2"/>
      <c r="BX6" s="53"/>
      <c r="BY6" s="2"/>
      <c r="BZ6" s="2"/>
      <c r="CA6" s="2"/>
      <c r="CC6" s="55" t="s">
        <v>68</v>
      </c>
      <c r="CD6" s="55">
        <f>$B$6</f>
        <v>2</v>
      </c>
      <c r="CG6" s="2"/>
      <c r="CH6" s="53"/>
      <c r="CI6" s="2"/>
      <c r="CJ6" s="2"/>
      <c r="CK6" s="2"/>
      <c r="CM6" s="55" t="s">
        <v>68</v>
      </c>
      <c r="CN6" s="55">
        <f>$B$6</f>
        <v>2</v>
      </c>
      <c r="CQ6" s="53"/>
      <c r="CR6" s="53"/>
      <c r="CS6" s="2"/>
      <c r="CT6" s="2"/>
      <c r="CU6" s="2"/>
      <c r="CW6" s="55" t="s">
        <v>68</v>
      </c>
      <c r="CX6" s="55">
        <f>$B$6</f>
        <v>2</v>
      </c>
      <c r="DA6" s="2"/>
      <c r="DB6" s="53"/>
      <c r="DC6" s="2"/>
      <c r="DD6" s="2"/>
      <c r="DE6" s="2"/>
      <c r="DG6" s="55" t="s">
        <v>68</v>
      </c>
      <c r="DH6" s="55">
        <f>$B$6</f>
        <v>2</v>
      </c>
      <c r="DK6" s="2"/>
      <c r="DL6" s="53"/>
      <c r="DM6" s="2"/>
      <c r="DN6" s="2"/>
      <c r="DO6" s="2"/>
      <c r="DQ6" s="55" t="s">
        <v>68</v>
      </c>
      <c r="DR6" s="55">
        <f>$B$6</f>
        <v>2</v>
      </c>
      <c r="DU6" s="2"/>
      <c r="DV6" s="53"/>
      <c r="DW6" s="2"/>
      <c r="DX6" s="2"/>
      <c r="DY6" s="2"/>
      <c r="EA6" s="55" t="s">
        <v>68</v>
      </c>
      <c r="EB6" s="55">
        <f>$B$6</f>
        <v>2</v>
      </c>
      <c r="EE6" s="2"/>
      <c r="EF6" s="53"/>
      <c r="EG6" s="2"/>
      <c r="EH6" s="2"/>
      <c r="EI6" s="2"/>
    </row>
    <row r="7" spans="1:140" s="55" customFormat="1" x14ac:dyDescent="0.3">
      <c r="A7" s="55" t="s">
        <v>70</v>
      </c>
      <c r="B7" s="55">
        <f>IF(AND('Overall Calculator'!$I$24="Yes",B5=1),1,2)</f>
        <v>2</v>
      </c>
      <c r="E7" s="2"/>
      <c r="F7" s="2"/>
      <c r="G7" s="2"/>
      <c r="H7" s="2"/>
      <c r="I7" s="2"/>
      <c r="K7" s="55" t="s">
        <v>70</v>
      </c>
      <c r="L7" s="55">
        <f>$B$7</f>
        <v>2</v>
      </c>
      <c r="O7" s="2"/>
      <c r="P7" s="2"/>
      <c r="Q7" s="2"/>
      <c r="R7" s="2"/>
      <c r="S7" s="2"/>
      <c r="U7" s="55" t="s">
        <v>70</v>
      </c>
      <c r="V7" s="55">
        <f>$B$7</f>
        <v>2</v>
      </c>
      <c r="Y7" s="2"/>
      <c r="Z7" s="2"/>
      <c r="AA7" s="2"/>
      <c r="AB7" s="2"/>
      <c r="AC7" s="2"/>
      <c r="AE7" s="55" t="s">
        <v>70</v>
      </c>
      <c r="AF7" s="55">
        <f>$B$7</f>
        <v>2</v>
      </c>
      <c r="AI7" s="2"/>
      <c r="AJ7" s="53"/>
      <c r="AK7" s="2"/>
      <c r="AL7" s="2"/>
      <c r="AM7" s="2"/>
      <c r="AO7" s="55" t="s">
        <v>70</v>
      </c>
      <c r="AP7" s="55">
        <f>$B$7</f>
        <v>2</v>
      </c>
      <c r="AS7" s="2"/>
      <c r="AT7" s="53"/>
      <c r="AU7" s="2"/>
      <c r="AV7" s="2"/>
      <c r="AW7" s="2"/>
      <c r="AY7" s="55" t="s">
        <v>70</v>
      </c>
      <c r="AZ7" s="55">
        <f>$B$7</f>
        <v>2</v>
      </c>
      <c r="BC7" s="2"/>
      <c r="BD7" s="53"/>
      <c r="BE7" s="2"/>
      <c r="BF7" s="2"/>
      <c r="BG7" s="2"/>
      <c r="BI7" s="55" t="s">
        <v>70</v>
      </c>
      <c r="BJ7" s="55">
        <f>$B$7</f>
        <v>2</v>
      </c>
      <c r="BM7" s="2"/>
      <c r="BN7" s="53"/>
      <c r="BO7" s="2"/>
      <c r="BP7" s="2"/>
      <c r="BQ7" s="2"/>
      <c r="BS7" s="55" t="s">
        <v>70</v>
      </c>
      <c r="BT7" s="55">
        <f>$B$7</f>
        <v>2</v>
      </c>
      <c r="BW7" s="2"/>
      <c r="BX7" s="53"/>
      <c r="BY7" s="2"/>
      <c r="BZ7" s="2"/>
      <c r="CA7" s="2"/>
      <c r="CC7" s="55" t="s">
        <v>70</v>
      </c>
      <c r="CD7" s="55">
        <f>$B$7</f>
        <v>2</v>
      </c>
      <c r="CG7" s="2"/>
      <c r="CH7" s="53"/>
      <c r="CI7" s="2"/>
      <c r="CJ7" s="2"/>
      <c r="CK7" s="2"/>
      <c r="CM7" s="55" t="s">
        <v>70</v>
      </c>
      <c r="CN7" s="55">
        <f>$B$7</f>
        <v>2</v>
      </c>
      <c r="CQ7" s="53"/>
      <c r="CR7" s="53"/>
      <c r="CS7" s="2"/>
      <c r="CT7" s="2"/>
      <c r="CU7" s="2"/>
      <c r="CW7" s="55" t="s">
        <v>70</v>
      </c>
      <c r="CX7" s="55">
        <f>$B$7</f>
        <v>2</v>
      </c>
      <c r="DA7" s="2"/>
      <c r="DB7" s="53"/>
      <c r="DC7" s="2"/>
      <c r="DD7" s="2"/>
      <c r="DE7" s="2"/>
      <c r="DG7" s="55" t="s">
        <v>70</v>
      </c>
      <c r="DH7" s="55">
        <f>$B$7</f>
        <v>2</v>
      </c>
      <c r="DK7" s="2"/>
      <c r="DL7" s="53"/>
      <c r="DM7" s="2"/>
      <c r="DN7" s="2"/>
      <c r="DO7" s="2"/>
      <c r="DQ7" s="55" t="s">
        <v>70</v>
      </c>
      <c r="DR7" s="55">
        <f>$B$7</f>
        <v>2</v>
      </c>
      <c r="DU7" s="2"/>
      <c r="DV7" s="53"/>
      <c r="DW7" s="2"/>
      <c r="DX7" s="2"/>
      <c r="DY7" s="2"/>
      <c r="EA7" s="55" t="s">
        <v>70</v>
      </c>
      <c r="EB7" s="55">
        <f>$B$7</f>
        <v>2</v>
      </c>
      <c r="EE7" s="2"/>
      <c r="EF7" s="53"/>
      <c r="EG7" s="2"/>
      <c r="EH7" s="2"/>
      <c r="EI7" s="2"/>
    </row>
    <row r="8" spans="1:140" ht="16.2" x14ac:dyDescent="0.45">
      <c r="A8" t="s">
        <v>4</v>
      </c>
      <c r="B8" s="3">
        <f>'Overall Calculator'!J47</f>
        <v>-1.529999999999998E-2</v>
      </c>
      <c r="D8" t="s">
        <v>6</v>
      </c>
      <c r="E8" s="5">
        <f>IF(E4&lt;E5,E4,E5)</f>
        <v>0</v>
      </c>
      <c r="F8" s="2"/>
      <c r="G8" s="5">
        <v>0</v>
      </c>
      <c r="H8" s="2"/>
      <c r="I8" s="5">
        <v>0</v>
      </c>
      <c r="K8" t="s">
        <v>4</v>
      </c>
      <c r="L8" s="3">
        <f>'Overall Calculator'!J47</f>
        <v>-1.529999999999998E-2</v>
      </c>
      <c r="N8" t="s">
        <v>6</v>
      </c>
      <c r="O8" s="5">
        <f>IF(O4&lt;O5,O4,O5)</f>
        <v>0</v>
      </c>
      <c r="P8" s="2"/>
      <c r="Q8" s="5">
        <v>0</v>
      </c>
      <c r="R8" s="2"/>
      <c r="S8" s="5">
        <v>0</v>
      </c>
      <c r="U8" t="s">
        <v>4</v>
      </c>
      <c r="V8" s="3">
        <f>'Overall Calculator'!$J$47</f>
        <v>-1.529999999999998E-2</v>
      </c>
      <c r="Y8" s="5">
        <f>IF(Y4&lt;Y5,Y4,Y5)</f>
        <v>0</v>
      </c>
      <c r="Z8" s="2"/>
      <c r="AA8" s="5">
        <v>0</v>
      </c>
      <c r="AB8" s="2"/>
      <c r="AC8" s="5">
        <v>0</v>
      </c>
      <c r="AE8" t="s">
        <v>4</v>
      </c>
      <c r="AF8" s="3">
        <f>'Overall Calculator'!$J$47</f>
        <v>-1.529999999999998E-2</v>
      </c>
      <c r="AI8" s="5">
        <f>IF(AI4&lt;AI5,AI4,AI5)</f>
        <v>0</v>
      </c>
      <c r="AJ8" s="97"/>
      <c r="AK8" s="5">
        <v>0</v>
      </c>
      <c r="AL8" s="2"/>
      <c r="AM8" s="5">
        <v>0</v>
      </c>
      <c r="AO8" t="s">
        <v>4</v>
      </c>
      <c r="AP8" s="3">
        <f>'Overall Calculator'!$J$47</f>
        <v>-1.529999999999998E-2</v>
      </c>
      <c r="AS8" s="5">
        <f>IF(AS4&lt;AS5,AS4,AS5)</f>
        <v>0</v>
      </c>
      <c r="AT8" s="97"/>
      <c r="AU8" s="5">
        <v>0</v>
      </c>
      <c r="AV8" s="2"/>
      <c r="AW8" s="5">
        <v>0</v>
      </c>
      <c r="AY8" t="s">
        <v>4</v>
      </c>
      <c r="AZ8" s="3">
        <f>'Overall Calculator'!$J$47</f>
        <v>-1.529999999999998E-2</v>
      </c>
      <c r="BC8" s="5">
        <f>IF(BC4&lt;BC5,BC4,BC5)</f>
        <v>0</v>
      </c>
      <c r="BD8" s="97"/>
      <c r="BE8" s="5">
        <v>0</v>
      </c>
      <c r="BF8" s="2"/>
      <c r="BG8" s="5">
        <v>0</v>
      </c>
      <c r="BI8" t="s">
        <v>4</v>
      </c>
      <c r="BJ8" s="3">
        <f>'Overall Calculator'!$J$47</f>
        <v>-1.529999999999998E-2</v>
      </c>
      <c r="BM8" s="5">
        <f>IF(BM4&lt;BM5,BM4,BM5)</f>
        <v>0</v>
      </c>
      <c r="BN8" s="97"/>
      <c r="BO8" s="5">
        <v>0</v>
      </c>
      <c r="BP8" s="2"/>
      <c r="BQ8" s="5">
        <v>0</v>
      </c>
      <c r="BS8" t="s">
        <v>4</v>
      </c>
      <c r="BT8" s="3">
        <f>'Overall Calculator'!$J$47</f>
        <v>-1.529999999999998E-2</v>
      </c>
      <c r="BW8" s="5">
        <f>IF(BW4&lt;BW5,BW4,BW5)</f>
        <v>0</v>
      </c>
      <c r="BX8" s="97"/>
      <c r="BY8" s="5">
        <v>0</v>
      </c>
      <c r="BZ8" s="2"/>
      <c r="CA8" s="5">
        <v>0</v>
      </c>
      <c r="CC8" t="s">
        <v>4</v>
      </c>
      <c r="CD8" s="3">
        <f>'Overall Calculator'!$J$47</f>
        <v>-1.529999999999998E-2</v>
      </c>
      <c r="CG8" s="5">
        <f>IF(CG4&lt;CG5,CG4,CG5)</f>
        <v>0</v>
      </c>
      <c r="CH8" s="97"/>
      <c r="CI8" s="5">
        <v>0</v>
      </c>
      <c r="CJ8" s="2"/>
      <c r="CK8" s="5">
        <v>0</v>
      </c>
      <c r="CM8" t="s">
        <v>4</v>
      </c>
      <c r="CN8" s="3">
        <f>'Overall Calculator'!$J$47</f>
        <v>-1.529999999999998E-2</v>
      </c>
      <c r="CQ8" s="97">
        <f>IF(CQ4&lt;CQ5,CQ4,CQ5)</f>
        <v>0</v>
      </c>
      <c r="CR8" s="97"/>
      <c r="CS8" s="5">
        <v>0</v>
      </c>
      <c r="CT8" s="2"/>
      <c r="CU8" s="5">
        <v>0</v>
      </c>
      <c r="CW8" t="s">
        <v>4</v>
      </c>
      <c r="CX8" s="3">
        <f>'Overall Calculator'!$J$47</f>
        <v>-1.529999999999998E-2</v>
      </c>
      <c r="DA8" s="5">
        <f>IF(DA4&lt;DA5,DA4,DA5)</f>
        <v>0</v>
      </c>
      <c r="DB8" s="97"/>
      <c r="DC8" s="5">
        <v>0</v>
      </c>
      <c r="DD8" s="2"/>
      <c r="DE8" s="5">
        <v>0</v>
      </c>
      <c r="DG8" t="s">
        <v>4</v>
      </c>
      <c r="DH8" s="3">
        <f>'Overall Calculator'!$J$47</f>
        <v>-1.529999999999998E-2</v>
      </c>
      <c r="DK8" s="5">
        <f>IF(DK4&lt;DK5,DK4,DK5)</f>
        <v>0</v>
      </c>
      <c r="DL8" s="97"/>
      <c r="DM8" s="5">
        <v>0</v>
      </c>
      <c r="DN8" s="2"/>
      <c r="DO8" s="5">
        <v>0</v>
      </c>
      <c r="DQ8" t="s">
        <v>4</v>
      </c>
      <c r="DR8" s="3">
        <f>'Overall Calculator'!$J$47</f>
        <v>-1.529999999999998E-2</v>
      </c>
      <c r="DU8" s="5">
        <f>IF(DU4&lt;DU5,DU4,DU5)</f>
        <v>0</v>
      </c>
      <c r="DV8" s="97"/>
      <c r="DW8" s="5">
        <v>0</v>
      </c>
      <c r="DX8" s="2"/>
      <c r="DY8" s="5">
        <v>0</v>
      </c>
      <c r="EA8" t="s">
        <v>4</v>
      </c>
      <c r="EB8">
        <f>+'Overall Calculator'!J47</f>
        <v>-1.529999999999998E-2</v>
      </c>
      <c r="EE8" s="5">
        <f>IF(EE4&lt;EE5,EE4,EE5)</f>
        <v>0</v>
      </c>
      <c r="EF8" s="97"/>
      <c r="EG8" s="5">
        <v>0</v>
      </c>
      <c r="EH8" s="2"/>
      <c r="EI8" s="5">
        <v>0</v>
      </c>
    </row>
    <row r="9" spans="1:140" x14ac:dyDescent="0.3">
      <c r="E9" s="2">
        <f>E3-E8</f>
        <v>0</v>
      </c>
      <c r="F9" s="2"/>
      <c r="G9" s="2">
        <f>G3-G8</f>
        <v>0</v>
      </c>
      <c r="H9" s="2"/>
      <c r="I9" s="2">
        <f>I3-I8</f>
        <v>0</v>
      </c>
      <c r="O9" s="2">
        <f>O3-O8</f>
        <v>0</v>
      </c>
      <c r="P9" s="2"/>
      <c r="Q9" s="2">
        <f>Q3-Q8</f>
        <v>0</v>
      </c>
      <c r="R9" s="2"/>
      <c r="S9" s="2">
        <f>S3-S8</f>
        <v>0</v>
      </c>
      <c r="X9" t="s">
        <v>6</v>
      </c>
      <c r="Y9" s="2">
        <f>Y3-Y8</f>
        <v>0</v>
      </c>
      <c r="Z9" s="2"/>
      <c r="AA9" s="2">
        <f>AA3-AA8</f>
        <v>0</v>
      </c>
      <c r="AB9" s="2"/>
      <c r="AC9" s="2">
        <f>AC3-AC8</f>
        <v>0</v>
      </c>
      <c r="AH9" t="s">
        <v>6</v>
      </c>
      <c r="AI9" s="2">
        <f>AI3-AI8</f>
        <v>0</v>
      </c>
      <c r="AJ9" s="53"/>
      <c r="AK9" s="2">
        <f>AK3-AK8</f>
        <v>0</v>
      </c>
      <c r="AL9" s="2"/>
      <c r="AM9" s="2">
        <f>AM3-AM8</f>
        <v>0</v>
      </c>
      <c r="AR9" t="s">
        <v>6</v>
      </c>
      <c r="AS9" s="2">
        <f>AS3-AS8</f>
        <v>0</v>
      </c>
      <c r="AT9" s="53"/>
      <c r="AU9" s="2">
        <f>AU3-AU8</f>
        <v>0</v>
      </c>
      <c r="AV9" s="2"/>
      <c r="AW9" s="2">
        <f>AW3-AW8</f>
        <v>0</v>
      </c>
      <c r="BB9" t="s">
        <v>6</v>
      </c>
      <c r="BC9" s="2">
        <f>BC3-BC8</f>
        <v>0</v>
      </c>
      <c r="BD9" s="53"/>
      <c r="BE9" s="2">
        <f>BE3-BE8</f>
        <v>0</v>
      </c>
      <c r="BF9" s="2"/>
      <c r="BG9" s="2">
        <f>BG3-BG8</f>
        <v>0</v>
      </c>
      <c r="BL9" t="s">
        <v>6</v>
      </c>
      <c r="BM9" s="2">
        <f>BM3-BM8</f>
        <v>0</v>
      </c>
      <c r="BN9" s="53"/>
      <c r="BO9" s="2">
        <f>BO3-BO8</f>
        <v>0</v>
      </c>
      <c r="BP9" s="2"/>
      <c r="BQ9" s="2">
        <f>BQ3-BQ8</f>
        <v>0</v>
      </c>
      <c r="BV9" t="s">
        <v>6</v>
      </c>
      <c r="BW9" s="2">
        <f>BW3-BW8</f>
        <v>0</v>
      </c>
      <c r="BX9" s="53"/>
      <c r="BY9" s="2">
        <f>BY3-BY8</f>
        <v>0</v>
      </c>
      <c r="BZ9" s="2"/>
      <c r="CA9" s="2">
        <f>CA3-CA8</f>
        <v>0</v>
      </c>
      <c r="CF9" t="s">
        <v>6</v>
      </c>
      <c r="CG9" s="2">
        <f>CG3-CG8</f>
        <v>0</v>
      </c>
      <c r="CH9" s="53"/>
      <c r="CI9" s="2">
        <f>CI3-CI8</f>
        <v>0</v>
      </c>
      <c r="CJ9" s="2"/>
      <c r="CK9" s="2">
        <f>CK3-CK8</f>
        <v>0</v>
      </c>
      <c r="CP9" t="s">
        <v>6</v>
      </c>
      <c r="CQ9" s="53">
        <f>CQ3-CQ8</f>
        <v>0</v>
      </c>
      <c r="CR9" s="53"/>
      <c r="CS9" s="2">
        <f>CS3-CS8</f>
        <v>0</v>
      </c>
      <c r="CT9" s="2"/>
      <c r="CU9" s="2">
        <f>CU3-CU8</f>
        <v>0</v>
      </c>
      <c r="CZ9" t="s">
        <v>6</v>
      </c>
      <c r="DA9" s="2">
        <f>DA3-DA8</f>
        <v>0</v>
      </c>
      <c r="DB9" s="53"/>
      <c r="DC9" s="2">
        <f>DC3-DC8</f>
        <v>0</v>
      </c>
      <c r="DD9" s="2"/>
      <c r="DE9" s="2">
        <f>DE3-DE8</f>
        <v>0</v>
      </c>
      <c r="DJ9" t="s">
        <v>6</v>
      </c>
      <c r="DK9" s="2">
        <f>DK3-DK8</f>
        <v>0</v>
      </c>
      <c r="DL9" s="53"/>
      <c r="DM9" s="2">
        <f>DM3-DM8</f>
        <v>0</v>
      </c>
      <c r="DN9" s="2"/>
      <c r="DO9" s="2">
        <f>DO3-DO8</f>
        <v>0</v>
      </c>
      <c r="DT9" t="s">
        <v>6</v>
      </c>
      <c r="DU9" s="2">
        <f>DU3-DU8</f>
        <v>0</v>
      </c>
      <c r="DV9" s="53"/>
      <c r="DW9" s="2">
        <f>DW3-DW8</f>
        <v>0</v>
      </c>
      <c r="DX9" s="2"/>
      <c r="DY9" s="2">
        <f>DY3-DY8</f>
        <v>0</v>
      </c>
      <c r="ED9" t="s">
        <v>6</v>
      </c>
      <c r="EE9" s="2">
        <f>EE3-EE8</f>
        <v>0</v>
      </c>
      <c r="EF9" s="53"/>
      <c r="EG9" s="2">
        <f>EG3-EG8</f>
        <v>0</v>
      </c>
      <c r="EH9" s="2"/>
      <c r="EI9" s="2">
        <f>EI3-EI8</f>
        <v>0</v>
      </c>
    </row>
    <row r="10" spans="1:140" x14ac:dyDescent="0.3">
      <c r="A10" t="s">
        <v>42</v>
      </c>
      <c r="D10" t="s">
        <v>7</v>
      </c>
      <c r="E10" s="4">
        <f>IF(E9&lt;600000,E9*0.35,599999*0.35)</f>
        <v>0</v>
      </c>
      <c r="F10" s="2"/>
      <c r="G10" s="4">
        <v>0</v>
      </c>
      <c r="H10" s="2"/>
      <c r="I10" s="4">
        <v>0</v>
      </c>
      <c r="K10" t="s">
        <v>42</v>
      </c>
      <c r="N10" t="s">
        <v>7</v>
      </c>
      <c r="O10" s="4">
        <f>IF(O9&lt;600000,O9*0.35,599999*0.35)</f>
        <v>0</v>
      </c>
      <c r="P10" s="2"/>
      <c r="Q10" s="4">
        <v>0</v>
      </c>
      <c r="R10" s="2"/>
      <c r="S10" s="4">
        <v>0</v>
      </c>
      <c r="U10" t="s">
        <v>42</v>
      </c>
      <c r="Y10" s="4">
        <f>IF(Y9&lt;600000,Y9*0.35,599999*0.35)</f>
        <v>0</v>
      </c>
      <c r="Z10" s="2"/>
      <c r="AA10" s="4">
        <v>0</v>
      </c>
      <c r="AB10" s="2"/>
      <c r="AC10" s="4">
        <v>0</v>
      </c>
      <c r="AE10" t="s">
        <v>42</v>
      </c>
      <c r="AI10" s="4">
        <f>IF(AI9&lt;600000,AI9*0.35,599999*0.35)</f>
        <v>0</v>
      </c>
      <c r="AJ10" s="53"/>
      <c r="AK10" s="4">
        <v>0</v>
      </c>
      <c r="AL10" s="2"/>
      <c r="AM10" s="4">
        <v>0</v>
      </c>
      <c r="AO10" t="s">
        <v>42</v>
      </c>
      <c r="AS10" s="4">
        <f>IF(AS9&lt;600000,AS9*0.35,599999*0.35)</f>
        <v>0</v>
      </c>
      <c r="AT10" s="53"/>
      <c r="AU10" s="4">
        <v>0</v>
      </c>
      <c r="AV10" s="2"/>
      <c r="AW10" s="4">
        <v>0</v>
      </c>
      <c r="AY10" t="s">
        <v>42</v>
      </c>
      <c r="BC10" s="4">
        <f>IF(BC9&lt;600000,BC9*0.35,599999*0.35)</f>
        <v>0</v>
      </c>
      <c r="BD10" s="53"/>
      <c r="BE10" s="4">
        <v>0</v>
      </c>
      <c r="BF10" s="2"/>
      <c r="BG10" s="4">
        <v>0</v>
      </c>
      <c r="BI10" t="s">
        <v>42</v>
      </c>
      <c r="BM10" s="4">
        <f>IF(BM9&lt;600000,BM9*0.35,599999*0.35)</f>
        <v>0</v>
      </c>
      <c r="BN10" s="53"/>
      <c r="BO10" s="4">
        <v>0</v>
      </c>
      <c r="BP10" s="2"/>
      <c r="BQ10" s="4">
        <v>0</v>
      </c>
      <c r="BS10" t="s">
        <v>42</v>
      </c>
      <c r="BW10" s="4">
        <f>IF(BW9&lt;600000,BW9*0.35,599999*0.35)</f>
        <v>0</v>
      </c>
      <c r="BX10" s="53"/>
      <c r="BY10" s="4">
        <v>0</v>
      </c>
      <c r="BZ10" s="2"/>
      <c r="CA10" s="4">
        <v>0</v>
      </c>
      <c r="CC10" t="s">
        <v>42</v>
      </c>
      <c r="CG10" s="4">
        <f>IF(CG9&lt;600000,CG9*0.35,599999*0.35)</f>
        <v>0</v>
      </c>
      <c r="CH10" s="53"/>
      <c r="CI10" s="4">
        <v>0</v>
      </c>
      <c r="CJ10" s="2"/>
      <c r="CK10" s="4">
        <v>0</v>
      </c>
      <c r="CM10" t="s">
        <v>42</v>
      </c>
      <c r="CQ10" s="53">
        <f>IF(CQ9&lt;600000,CQ9*0.35,599999*0.35)</f>
        <v>0</v>
      </c>
      <c r="CR10" s="53"/>
      <c r="CS10" s="4">
        <v>0</v>
      </c>
      <c r="CT10" s="2"/>
      <c r="CU10" s="4">
        <v>0</v>
      </c>
      <c r="CW10" t="s">
        <v>42</v>
      </c>
      <c r="DA10" s="4">
        <f>IF(DA9&lt;600000,DA9*0.35,599999*0.35)</f>
        <v>0</v>
      </c>
      <c r="DB10" s="53"/>
      <c r="DC10" s="4">
        <v>0</v>
      </c>
      <c r="DD10" s="2"/>
      <c r="DE10" s="4">
        <v>0</v>
      </c>
      <c r="DG10" t="s">
        <v>42</v>
      </c>
      <c r="DK10" s="4">
        <f>IF(DK9&lt;600000,DK9*0.35,599999*0.35)</f>
        <v>0</v>
      </c>
      <c r="DL10" s="53"/>
      <c r="DM10" s="4">
        <v>0</v>
      </c>
      <c r="DN10" s="2"/>
      <c r="DO10" s="4">
        <v>0</v>
      </c>
      <c r="DQ10" t="s">
        <v>42</v>
      </c>
      <c r="DU10" s="4">
        <f>IF(DU9&lt;600000,DU9*0.35,599999*0.35)</f>
        <v>0</v>
      </c>
      <c r="DV10" s="53"/>
      <c r="DW10" s="4">
        <v>0</v>
      </c>
      <c r="DX10" s="2"/>
      <c r="DY10" s="4">
        <v>0</v>
      </c>
      <c r="EA10" t="s">
        <v>42</v>
      </c>
      <c r="EE10" s="4">
        <f>IF(EE9&lt;600000,EE9*0.35,599999*0.35)</f>
        <v>0</v>
      </c>
      <c r="EF10" s="53"/>
      <c r="EG10" s="4">
        <v>0</v>
      </c>
      <c r="EH10" s="2"/>
      <c r="EI10" s="4">
        <v>0</v>
      </c>
    </row>
    <row r="11" spans="1:140" x14ac:dyDescent="0.3">
      <c r="A11" t="s">
        <v>10</v>
      </c>
      <c r="B11">
        <v>1.5595000000000001</v>
      </c>
      <c r="D11" t="s">
        <v>8</v>
      </c>
      <c r="E11" s="63">
        <f>IF(E9&gt;=600000,(E9-599999)*0.25,0)</f>
        <v>0</v>
      </c>
      <c r="F11" s="64"/>
      <c r="G11" s="63">
        <v>0</v>
      </c>
      <c r="H11" s="64"/>
      <c r="I11" s="63">
        <v>0</v>
      </c>
      <c r="K11" t="s">
        <v>10</v>
      </c>
      <c r="L11">
        <v>1.8029999999999999</v>
      </c>
      <c r="N11" t="s">
        <v>8</v>
      </c>
      <c r="O11" s="63">
        <f>IF(O9&gt;=600000,(O9-599999)*0.25,0)</f>
        <v>0</v>
      </c>
      <c r="P11" s="64"/>
      <c r="Q11" s="63">
        <v>0</v>
      </c>
      <c r="R11" s="64"/>
      <c r="S11" s="63">
        <v>0</v>
      </c>
      <c r="U11" t="s">
        <v>10</v>
      </c>
      <c r="V11">
        <v>1.5034000000000001</v>
      </c>
      <c r="X11" t="s">
        <v>7</v>
      </c>
      <c r="Y11" s="63">
        <f>IF(Y9&gt;=600000,(Y9-599999)*0.25,0)</f>
        <v>0</v>
      </c>
      <c r="Z11" s="64"/>
      <c r="AA11" s="63">
        <v>0</v>
      </c>
      <c r="AB11" s="64"/>
      <c r="AC11" s="63">
        <v>0</v>
      </c>
      <c r="AE11" t="s">
        <v>10</v>
      </c>
      <c r="AF11">
        <v>1.5306</v>
      </c>
      <c r="AH11" t="s">
        <v>7</v>
      </c>
      <c r="AI11" s="63">
        <f>IF(AI9&gt;=600000,(AI9-599999)*0.25,0)</f>
        <v>0</v>
      </c>
      <c r="AJ11" s="98"/>
      <c r="AK11" s="63">
        <v>0</v>
      </c>
      <c r="AL11" s="64"/>
      <c r="AM11" s="63">
        <v>0</v>
      </c>
      <c r="AO11" t="s">
        <v>10</v>
      </c>
      <c r="AP11">
        <v>1.5249999999999999</v>
      </c>
      <c r="AR11" t="s">
        <v>7</v>
      </c>
      <c r="AS11" s="63">
        <f>IF(AS9&gt;=600000,(AS9-599999)*0.25,0)</f>
        <v>0</v>
      </c>
      <c r="AT11" s="98"/>
      <c r="AU11" s="63">
        <v>0</v>
      </c>
      <c r="AV11" s="64"/>
      <c r="AW11" s="63">
        <v>0</v>
      </c>
      <c r="AY11" t="s">
        <v>10</v>
      </c>
      <c r="AZ11">
        <v>2.0247999999999999</v>
      </c>
      <c r="BB11" t="s">
        <v>7</v>
      </c>
      <c r="BC11" s="63">
        <f>IF(BC9&gt;=600000,(BC9-599999)*0.25,0)</f>
        <v>0</v>
      </c>
      <c r="BD11" s="98"/>
      <c r="BE11" s="63">
        <v>0</v>
      </c>
      <c r="BF11" s="64"/>
      <c r="BG11" s="63">
        <v>0</v>
      </c>
      <c r="BI11" t="s">
        <v>10</v>
      </c>
      <c r="BJ11">
        <v>2.6223999999999998</v>
      </c>
      <c r="BL11" t="s">
        <v>7</v>
      </c>
      <c r="BM11" s="63">
        <f>IF(BM9&gt;=600000,(BM9-599999)*0.25,0)</f>
        <v>0</v>
      </c>
      <c r="BN11" s="98"/>
      <c r="BO11" s="63">
        <v>0</v>
      </c>
      <c r="BP11" s="64"/>
      <c r="BQ11" s="63">
        <v>0</v>
      </c>
      <c r="BS11" t="s">
        <v>10</v>
      </c>
      <c r="BT11">
        <v>2.6997</v>
      </c>
      <c r="BV11" t="s">
        <v>7</v>
      </c>
      <c r="BW11" s="63">
        <f>IF(BW9&gt;=600000,(BW9-599999)*0.25,0)</f>
        <v>0</v>
      </c>
      <c r="BX11" s="98"/>
      <c r="BY11" s="63">
        <v>0</v>
      </c>
      <c r="BZ11" s="64"/>
      <c r="CA11" s="63">
        <v>0</v>
      </c>
      <c r="CC11" t="s">
        <v>10</v>
      </c>
      <c r="CD11">
        <v>2.6757</v>
      </c>
      <c r="CF11" t="s">
        <v>7</v>
      </c>
      <c r="CG11" s="63">
        <f>IF(CG9&gt;=600000,(CG9-599999)*0.25,0)</f>
        <v>0</v>
      </c>
      <c r="CH11" s="98"/>
      <c r="CI11" s="63">
        <v>0</v>
      </c>
      <c r="CJ11" s="64"/>
      <c r="CK11" s="63">
        <v>0</v>
      </c>
      <c r="CM11" t="s">
        <v>10</v>
      </c>
      <c r="CN11">
        <v>2.6739999999999999</v>
      </c>
      <c r="CP11" t="s">
        <v>7</v>
      </c>
      <c r="CQ11" s="98">
        <f>IF(CQ9&gt;=600000,(CQ9-599999)*0.25,0)</f>
        <v>0</v>
      </c>
      <c r="CR11" s="98"/>
      <c r="CS11" s="63">
        <v>0</v>
      </c>
      <c r="CT11" s="64"/>
      <c r="CU11" s="63">
        <v>0</v>
      </c>
      <c r="CW11" t="s">
        <v>10</v>
      </c>
      <c r="CX11">
        <v>3.2690000000000001</v>
      </c>
      <c r="CZ11" t="s">
        <v>7</v>
      </c>
      <c r="DA11" s="63">
        <f>IF(DA9&gt;=600000,(DA9-599999)*0.25,0)</f>
        <v>0</v>
      </c>
      <c r="DB11" s="98"/>
      <c r="DC11" s="63">
        <v>0</v>
      </c>
      <c r="DD11" s="64"/>
      <c r="DE11" s="63">
        <v>0</v>
      </c>
      <c r="DG11" t="s">
        <v>10</v>
      </c>
      <c r="DH11">
        <v>3.5809000000000002</v>
      </c>
      <c r="DJ11" t="s">
        <v>7</v>
      </c>
      <c r="DK11" s="63">
        <f>IF(DK9&gt;=600000,(DK9-599999)*0.25,0)</f>
        <v>0</v>
      </c>
      <c r="DL11" s="98"/>
      <c r="DM11" s="63">
        <v>0</v>
      </c>
      <c r="DN11" s="64"/>
      <c r="DO11" s="63">
        <v>0</v>
      </c>
      <c r="DQ11" t="s">
        <v>10</v>
      </c>
      <c r="DR11">
        <v>3.5743999999999998</v>
      </c>
      <c r="DT11" t="s">
        <v>7</v>
      </c>
      <c r="DU11" s="63">
        <f>IF(DU9&gt;=600000,(DU9-599999)*0.25,0)</f>
        <v>0</v>
      </c>
      <c r="DV11" s="98"/>
      <c r="DW11" s="63">
        <v>0</v>
      </c>
      <c r="DX11" s="64"/>
      <c r="DY11" s="63">
        <v>0</v>
      </c>
      <c r="EA11" t="s">
        <v>10</v>
      </c>
      <c r="EB11">
        <v>2.4300999999999999</v>
      </c>
      <c r="ED11" t="s">
        <v>7</v>
      </c>
      <c r="EE11" s="63">
        <f>IF(EE9&gt;=600000,(EE9-599999)*0.25,0)</f>
        <v>0</v>
      </c>
      <c r="EF11" s="98"/>
      <c r="EG11" s="63">
        <v>0</v>
      </c>
      <c r="EH11" s="64"/>
      <c r="EI11" s="63">
        <v>0</v>
      </c>
    </row>
    <row r="12" spans="1:140" x14ac:dyDescent="0.3">
      <c r="A12" t="s">
        <v>11</v>
      </c>
      <c r="B12">
        <v>0</v>
      </c>
      <c r="D12" t="s">
        <v>68</v>
      </c>
      <c r="E12" s="66">
        <f>IF(E3&lt;182340,IF($B$6=1,12480,0),0)</f>
        <v>0</v>
      </c>
      <c r="F12" s="64"/>
      <c r="G12" s="67">
        <v>0</v>
      </c>
      <c r="H12" s="64"/>
      <c r="I12" s="67">
        <v>0</v>
      </c>
      <c r="K12" t="s">
        <v>11</v>
      </c>
      <c r="L12">
        <v>0</v>
      </c>
      <c r="N12" s="6" t="s">
        <v>9</v>
      </c>
      <c r="O12" s="66">
        <f>IF(O3&lt;182340,IF($B$6=1,12480,0),0)</f>
        <v>0</v>
      </c>
      <c r="P12" s="65"/>
      <c r="Q12" s="67">
        <v>0</v>
      </c>
      <c r="R12" s="64"/>
      <c r="S12" s="67">
        <v>0</v>
      </c>
      <c r="U12" t="s">
        <v>11</v>
      </c>
      <c r="V12">
        <v>0</v>
      </c>
      <c r="X12" t="s">
        <v>8</v>
      </c>
      <c r="Y12" s="66">
        <f>IF(Y3&lt;182340,IF($B$6=1,12480,0),0)</f>
        <v>0</v>
      </c>
      <c r="Z12" s="65"/>
      <c r="AA12" s="67">
        <v>0</v>
      </c>
      <c r="AB12" s="64"/>
      <c r="AC12" s="67">
        <v>0</v>
      </c>
      <c r="AE12" t="s">
        <v>11</v>
      </c>
      <c r="AF12">
        <v>0</v>
      </c>
      <c r="AH12" t="s">
        <v>8</v>
      </c>
      <c r="AI12" s="66">
        <f>IF(AI3&lt;182340,IF($B$6=1,12480,0),0)</f>
        <v>0</v>
      </c>
      <c r="AJ12" s="99"/>
      <c r="AK12" s="67">
        <v>0</v>
      </c>
      <c r="AL12" s="64"/>
      <c r="AM12" s="67">
        <v>0</v>
      </c>
      <c r="AO12" t="s">
        <v>11</v>
      </c>
      <c r="AP12">
        <v>0</v>
      </c>
      <c r="AR12" t="s">
        <v>8</v>
      </c>
      <c r="AS12" s="66">
        <f>IF(AS3&lt;182340,IF($B$6=1,12480,0),0)</f>
        <v>0</v>
      </c>
      <c r="AT12" s="99"/>
      <c r="AU12" s="67">
        <v>0</v>
      </c>
      <c r="AV12" s="64"/>
      <c r="AW12" s="67">
        <v>0</v>
      </c>
      <c r="AY12" t="s">
        <v>11</v>
      </c>
      <c r="AZ12">
        <v>0</v>
      </c>
      <c r="BB12" t="s">
        <v>8</v>
      </c>
      <c r="BC12" s="66">
        <f>IF(BC3&lt;182340,IF($B$6=1,12480,0),0)</f>
        <v>0</v>
      </c>
      <c r="BD12" s="99"/>
      <c r="BE12" s="67">
        <v>0</v>
      </c>
      <c r="BF12" s="64"/>
      <c r="BG12" s="67">
        <v>0</v>
      </c>
      <c r="BI12" t="s">
        <v>11</v>
      </c>
      <c r="BJ12">
        <v>0</v>
      </c>
      <c r="BL12" t="s">
        <v>8</v>
      </c>
      <c r="BM12" s="66">
        <f>IF(BM3&lt;182340,IF($B$6=1,12480,0),0)</f>
        <v>0</v>
      </c>
      <c r="BN12" s="99"/>
      <c r="BO12" s="67">
        <v>0</v>
      </c>
      <c r="BP12" s="64"/>
      <c r="BQ12" s="67">
        <v>0</v>
      </c>
      <c r="BS12" t="s">
        <v>11</v>
      </c>
      <c r="BT12">
        <v>0</v>
      </c>
      <c r="BV12" t="s">
        <v>8</v>
      </c>
      <c r="BW12" s="66">
        <f>IF(BW3&lt;182340,IF($B$6=1,12480,0),0)</f>
        <v>0</v>
      </c>
      <c r="BX12" s="99"/>
      <c r="BY12" s="67">
        <v>0</v>
      </c>
      <c r="BZ12" s="64"/>
      <c r="CA12" s="67">
        <v>0</v>
      </c>
      <c r="CC12" t="s">
        <v>11</v>
      </c>
      <c r="CD12">
        <v>0</v>
      </c>
      <c r="CF12" t="s">
        <v>8</v>
      </c>
      <c r="CG12" s="66">
        <f>IF(CG3&lt;182340,IF($B$6=1,12480,0),0)</f>
        <v>0</v>
      </c>
      <c r="CH12" s="99"/>
      <c r="CI12" s="67">
        <v>0</v>
      </c>
      <c r="CJ12" s="64"/>
      <c r="CK12" s="67">
        <v>0</v>
      </c>
      <c r="CM12" t="s">
        <v>11</v>
      </c>
      <c r="CN12">
        <v>0</v>
      </c>
      <c r="CP12" t="s">
        <v>8</v>
      </c>
      <c r="CQ12" s="101">
        <f>IF(CQ3&lt;182340,IF($B$6=1,12480,0),0)</f>
        <v>0</v>
      </c>
      <c r="CR12" s="99"/>
      <c r="CS12" s="67">
        <v>0</v>
      </c>
      <c r="CT12" s="64"/>
      <c r="CU12" s="67">
        <v>0</v>
      </c>
      <c r="CW12" t="s">
        <v>11</v>
      </c>
      <c r="CX12">
        <v>0</v>
      </c>
      <c r="CZ12" t="s">
        <v>8</v>
      </c>
      <c r="DA12" s="66">
        <f>IF(DA3&lt;182340,IF($B$6=1,12480,0),0)</f>
        <v>0</v>
      </c>
      <c r="DB12" s="99"/>
      <c r="DC12" s="67">
        <v>0</v>
      </c>
      <c r="DD12" s="64"/>
      <c r="DE12" s="67">
        <v>0</v>
      </c>
      <c r="DG12" t="s">
        <v>11</v>
      </c>
      <c r="DH12">
        <v>0</v>
      </c>
      <c r="DJ12" t="s">
        <v>8</v>
      </c>
      <c r="DK12" s="66">
        <f>IF(DK3&lt;182340,IF($B$6=1,12480,0),0)</f>
        <v>0</v>
      </c>
      <c r="DL12" s="99"/>
      <c r="DM12" s="67">
        <v>0</v>
      </c>
      <c r="DN12" s="64"/>
      <c r="DO12" s="67">
        <v>0</v>
      </c>
      <c r="DQ12" t="s">
        <v>11</v>
      </c>
      <c r="DR12">
        <v>0</v>
      </c>
      <c r="DT12" t="s">
        <v>8</v>
      </c>
      <c r="DU12" s="66">
        <f>IF(DU3&lt;182340,IF($B$6=1,12480,0),0)</f>
        <v>0</v>
      </c>
      <c r="DV12" s="99"/>
      <c r="DW12" s="67">
        <v>0</v>
      </c>
      <c r="DX12" s="64"/>
      <c r="DY12" s="67">
        <v>0</v>
      </c>
      <c r="EA12" t="s">
        <v>11</v>
      </c>
      <c r="EB12">
        <v>0</v>
      </c>
      <c r="ED12" t="s">
        <v>8</v>
      </c>
      <c r="EE12" s="66">
        <f>IF(EE3&lt;182340,IF($B$6=1,12480,0),0)</f>
        <v>0</v>
      </c>
      <c r="EF12" s="99"/>
      <c r="EG12" s="67">
        <v>0</v>
      </c>
      <c r="EH12" s="64"/>
      <c r="EI12" s="67">
        <v>0</v>
      </c>
    </row>
    <row r="13" spans="1:140" x14ac:dyDescent="0.3">
      <c r="A13" t="s">
        <v>14</v>
      </c>
      <c r="B13">
        <f>B11-B12</f>
        <v>1.5595000000000001</v>
      </c>
      <c r="D13" s="6" t="s">
        <v>9</v>
      </c>
      <c r="E13" s="4">
        <f>E3-E8-E10-E11-E12-3000</f>
        <v>-3000</v>
      </c>
      <c r="F13" s="2"/>
      <c r="G13" s="4">
        <f>G3-G8-G10-G11</f>
        <v>0</v>
      </c>
      <c r="H13" s="2"/>
      <c r="I13" s="4">
        <f>I3-I8-I10-I11</f>
        <v>0</v>
      </c>
      <c r="K13" t="s">
        <v>14</v>
      </c>
      <c r="L13">
        <f>L11-L12</f>
        <v>1.8029999999999999</v>
      </c>
      <c r="O13" s="4">
        <f>O3-O8-O10-O11-O12-3000</f>
        <v>-3000</v>
      </c>
      <c r="P13" s="2"/>
      <c r="Q13" s="4">
        <f>Q3-Q8-Q10-Q11</f>
        <v>0</v>
      </c>
      <c r="R13" s="2"/>
      <c r="S13" s="4">
        <f>S3-S8-S10-S11</f>
        <v>0</v>
      </c>
      <c r="U13" t="s">
        <v>14</v>
      </c>
      <c r="V13">
        <f>V11-V12</f>
        <v>1.5034000000000001</v>
      </c>
      <c r="X13" s="6" t="s">
        <v>9</v>
      </c>
      <c r="Y13" s="4">
        <f>Y3-Y8-Y10-Y11-Y12-3000</f>
        <v>-3000</v>
      </c>
      <c r="Z13" s="2"/>
      <c r="AA13" s="4">
        <f>AA3-AA8-AA10-AA11</f>
        <v>0</v>
      </c>
      <c r="AB13" s="2"/>
      <c r="AC13" s="4">
        <f>AC3-AC8-AC10-AC11</f>
        <v>0</v>
      </c>
      <c r="AE13" t="s">
        <v>14</v>
      </c>
      <c r="AF13">
        <f>AF11-AF12</f>
        <v>1.5306</v>
      </c>
      <c r="AH13" t="s">
        <v>9</v>
      </c>
      <c r="AI13" s="4">
        <f>AI3-AI8-AI10-AI11-AI12-3000</f>
        <v>-3000</v>
      </c>
      <c r="AJ13" s="53"/>
      <c r="AK13" s="4">
        <f>AK3-AK8-AK10-AK11</f>
        <v>0</v>
      </c>
      <c r="AL13" s="2"/>
      <c r="AM13" s="4">
        <f>AM3-AM8-AM10-AM11</f>
        <v>0</v>
      </c>
      <c r="AO13" t="s">
        <v>14</v>
      </c>
      <c r="AP13">
        <f>AP11-AP12</f>
        <v>1.5249999999999999</v>
      </c>
      <c r="AR13" t="s">
        <v>9</v>
      </c>
      <c r="AS13" s="4">
        <f>AS3-AS8-AS10-AS11-AS12-3000</f>
        <v>-3000</v>
      </c>
      <c r="AT13" s="53"/>
      <c r="AU13" s="4">
        <f>AU3-AU8-AU10-AU11</f>
        <v>0</v>
      </c>
      <c r="AV13" s="2"/>
      <c r="AW13" s="4">
        <f>AW3-AW8-AW10-AW11</f>
        <v>0</v>
      </c>
      <c r="AY13" t="s">
        <v>14</v>
      </c>
      <c r="AZ13">
        <f>AZ11-AZ12</f>
        <v>2.0247999999999999</v>
      </c>
      <c r="BB13" t="s">
        <v>9</v>
      </c>
      <c r="BC13" s="4">
        <f>BC3-BC8-BC10-BC11-BC12-3000</f>
        <v>-3000</v>
      </c>
      <c r="BD13" s="53"/>
      <c r="BE13" s="4">
        <f>BE3-BE8-BE10-BE11</f>
        <v>0</v>
      </c>
      <c r="BF13" s="2"/>
      <c r="BG13" s="4">
        <f>BG3-BG8-BG10-BG11</f>
        <v>0</v>
      </c>
      <c r="BI13" t="s">
        <v>14</v>
      </c>
      <c r="BJ13">
        <f>BJ11-BJ12</f>
        <v>2.6223999999999998</v>
      </c>
      <c r="BL13" t="s">
        <v>9</v>
      </c>
      <c r="BM13" s="4">
        <f>BM3-BM8-BM10-BM11-BM12-3000</f>
        <v>-3000</v>
      </c>
      <c r="BN13" s="53"/>
      <c r="BO13" s="4">
        <f>BO3-BO8-BO10-BO11</f>
        <v>0</v>
      </c>
      <c r="BP13" s="2"/>
      <c r="BQ13" s="4">
        <f>BQ3-BQ8-BQ10-BQ11</f>
        <v>0</v>
      </c>
      <c r="BS13" t="s">
        <v>14</v>
      </c>
      <c r="BT13">
        <f>BT11-BT12</f>
        <v>2.6997</v>
      </c>
      <c r="BV13" t="s">
        <v>9</v>
      </c>
      <c r="BW13" s="4">
        <f>BW3-BW8-BW10-BW11-BW12-3000</f>
        <v>-3000</v>
      </c>
      <c r="BX13" s="53"/>
      <c r="BY13" s="4">
        <f>BY3-BY8-BY10-BY11</f>
        <v>0</v>
      </c>
      <c r="BZ13" s="2"/>
      <c r="CA13" s="4">
        <f>CA3-CA8-CA10-CA11</f>
        <v>0</v>
      </c>
      <c r="CC13" t="s">
        <v>14</v>
      </c>
      <c r="CD13">
        <f>CD11-CD12</f>
        <v>2.6757</v>
      </c>
      <c r="CF13" t="s">
        <v>9</v>
      </c>
      <c r="CG13" s="4">
        <f>CG3-CG8-CG10-CG11-CG12-3000</f>
        <v>-3000</v>
      </c>
      <c r="CH13" s="53"/>
      <c r="CI13" s="4">
        <f>CI3-CI8-CI10-CI11</f>
        <v>0</v>
      </c>
      <c r="CJ13" s="2"/>
      <c r="CK13" s="4">
        <f>CK3-CK8-CK10-CK11</f>
        <v>0</v>
      </c>
      <c r="CM13" t="s">
        <v>14</v>
      </c>
      <c r="CN13">
        <f>CN11-CN12</f>
        <v>2.6739999999999999</v>
      </c>
      <c r="CP13" t="s">
        <v>9</v>
      </c>
      <c r="CQ13" s="53">
        <f>CQ3-CQ8-CQ10-CQ11-CQ12-3000</f>
        <v>-3000</v>
      </c>
      <c r="CR13" s="53"/>
      <c r="CS13" s="4">
        <f>CS3-CS8-CS10-CS11</f>
        <v>0</v>
      </c>
      <c r="CT13" s="2"/>
      <c r="CU13" s="4">
        <f>CU3-CU8-CU10-CU11</f>
        <v>0</v>
      </c>
      <c r="CW13" t="s">
        <v>14</v>
      </c>
      <c r="CX13">
        <f>CX11-CX12</f>
        <v>3.2690000000000001</v>
      </c>
      <c r="CZ13" t="s">
        <v>9</v>
      </c>
      <c r="DA13" s="4">
        <f>DA3-DA8-DA10-DA11-DA12-3000</f>
        <v>-3000</v>
      </c>
      <c r="DB13" s="53"/>
      <c r="DC13" s="4">
        <f>DC3-DC8-DC10-DC11</f>
        <v>0</v>
      </c>
      <c r="DD13" s="2"/>
      <c r="DE13" s="4">
        <f>DE3-DE8-DE10-DE11</f>
        <v>0</v>
      </c>
      <c r="DG13" t="s">
        <v>14</v>
      </c>
      <c r="DH13">
        <f>DH11-DH12</f>
        <v>3.5809000000000002</v>
      </c>
      <c r="DJ13" t="s">
        <v>9</v>
      </c>
      <c r="DK13" s="4">
        <f>DK3-DK8-DK10-DK11-DK12-3000</f>
        <v>-3000</v>
      </c>
      <c r="DL13" s="53"/>
      <c r="DM13" s="4">
        <f>DM3-DM8-DM10-DM11</f>
        <v>0</v>
      </c>
      <c r="DN13" s="2"/>
      <c r="DO13" s="4">
        <f>DO3-DO8-DO10-DO11</f>
        <v>0</v>
      </c>
      <c r="DQ13" t="s">
        <v>14</v>
      </c>
      <c r="DR13">
        <f>DR11-DR12</f>
        <v>3.5743999999999998</v>
      </c>
      <c r="DT13" t="s">
        <v>9</v>
      </c>
      <c r="DU13" s="4">
        <f>DU3-DU8-DU10-DU11-DU12-3000</f>
        <v>-3000</v>
      </c>
      <c r="DV13" s="53"/>
      <c r="DW13" s="4">
        <f>DW3-DW8-DW10-DW11</f>
        <v>0</v>
      </c>
      <c r="DX13" s="2"/>
      <c r="DY13" s="4">
        <f>DY3-DY8-DY10-DY11</f>
        <v>0</v>
      </c>
      <c r="EA13" t="s">
        <v>14</v>
      </c>
      <c r="EB13">
        <f>EB11-EB12</f>
        <v>2.4300999999999999</v>
      </c>
      <c r="ED13" t="s">
        <v>9</v>
      </c>
      <c r="EE13" s="4">
        <f>EE3-EE8-EE10-EE11-EE12-3000</f>
        <v>-3000</v>
      </c>
      <c r="EF13" s="53"/>
      <c r="EG13" s="4">
        <f>EG3-EG8-EG10-EG11</f>
        <v>0</v>
      </c>
      <c r="EH13" s="2"/>
      <c r="EI13" s="4">
        <f>EI3-EI8-EI10-EI11</f>
        <v>0</v>
      </c>
    </row>
    <row r="14" spans="1:140" x14ac:dyDescent="0.3">
      <c r="E14" s="2"/>
      <c r="F14" s="2"/>
      <c r="G14" s="2"/>
      <c r="H14" s="2"/>
      <c r="I14" s="2"/>
      <c r="O14" s="2"/>
      <c r="P14" s="2"/>
      <c r="Q14" s="2"/>
      <c r="R14" s="2"/>
      <c r="S14" s="2"/>
      <c r="Y14" s="2"/>
      <c r="Z14" s="2"/>
      <c r="AA14" s="2"/>
      <c r="AB14" s="2"/>
      <c r="AC14" s="2"/>
      <c r="AI14" s="52"/>
      <c r="AJ14" s="52"/>
      <c r="AK14" s="2"/>
      <c r="AL14" s="2"/>
      <c r="AM14" s="2"/>
      <c r="AS14" s="52"/>
      <c r="AT14" s="100"/>
      <c r="AU14" s="2"/>
      <c r="AV14" s="2"/>
      <c r="AW14" s="2"/>
      <c r="BC14" s="52"/>
      <c r="BD14" s="100"/>
      <c r="BE14" s="2"/>
      <c r="BF14" s="2"/>
      <c r="BG14" s="2"/>
      <c r="BM14" s="52"/>
      <c r="BN14" s="100"/>
      <c r="BO14" s="2"/>
      <c r="BP14" s="2"/>
      <c r="BQ14" s="2"/>
      <c r="BW14" s="52"/>
      <c r="BX14" s="100"/>
      <c r="BY14" s="2"/>
      <c r="BZ14" s="2"/>
      <c r="CA14" s="2"/>
      <c r="CG14" s="52"/>
      <c r="CH14" s="100"/>
      <c r="CI14" s="2"/>
      <c r="CJ14" s="2"/>
      <c r="CK14" s="2"/>
      <c r="CQ14" s="100"/>
      <c r="CR14" s="100"/>
      <c r="CS14" s="2"/>
      <c r="CT14" s="2"/>
      <c r="CU14" s="2"/>
      <c r="DA14" s="52"/>
      <c r="DB14" s="100"/>
      <c r="DC14" s="2"/>
      <c r="DD14" s="2"/>
      <c r="DE14" s="2"/>
      <c r="DK14" s="52"/>
      <c r="DL14" s="100"/>
      <c r="DM14" s="2"/>
      <c r="DN14" s="2"/>
      <c r="DO14" s="2"/>
      <c r="DU14" s="52"/>
      <c r="DV14" s="100"/>
      <c r="DW14" s="2"/>
      <c r="DX14" s="2"/>
      <c r="DY14" s="2"/>
      <c r="EE14" s="52"/>
      <c r="EF14" s="100"/>
      <c r="EG14" s="2"/>
      <c r="EH14" s="2"/>
      <c r="EI14" s="2"/>
    </row>
    <row r="15" spans="1:140" x14ac:dyDescent="0.3">
      <c r="A15" s="8">
        <v>2020</v>
      </c>
      <c r="D15" s="8">
        <v>2019</v>
      </c>
      <c r="E15" s="2"/>
      <c r="F15" s="2"/>
      <c r="G15" s="2"/>
      <c r="H15" s="2"/>
      <c r="I15" s="2"/>
      <c r="K15" s="8">
        <v>2019</v>
      </c>
      <c r="N15" t="s">
        <v>29</v>
      </c>
      <c r="O15" s="2"/>
      <c r="P15" s="2"/>
      <c r="Q15" s="2"/>
      <c r="R15" s="2"/>
      <c r="S15" s="2"/>
      <c r="U15" s="8">
        <v>2019</v>
      </c>
      <c r="Y15" s="2"/>
      <c r="Z15" s="2"/>
      <c r="AA15" s="2"/>
      <c r="AB15" s="2"/>
      <c r="AC15" s="2"/>
      <c r="AE15" s="8">
        <v>2019</v>
      </c>
      <c r="AI15" s="52"/>
      <c r="AJ15" s="52"/>
      <c r="AK15" s="2"/>
      <c r="AL15" s="2"/>
      <c r="AM15" s="2"/>
      <c r="AO15" s="8">
        <v>2019</v>
      </c>
      <c r="AS15" s="52"/>
      <c r="AT15" s="52"/>
      <c r="AU15" s="2"/>
      <c r="AV15" s="2"/>
      <c r="AW15" s="2"/>
      <c r="AY15" s="8">
        <v>2019</v>
      </c>
      <c r="BC15" s="52"/>
      <c r="BD15" s="100"/>
      <c r="BE15" s="2"/>
      <c r="BF15" s="2"/>
      <c r="BG15" s="2"/>
      <c r="BI15" s="8">
        <v>2019</v>
      </c>
      <c r="BM15" s="52"/>
      <c r="BN15" s="100"/>
      <c r="BO15" s="2"/>
      <c r="BP15" s="2"/>
      <c r="BQ15" s="2"/>
      <c r="BS15" s="8">
        <v>2019</v>
      </c>
      <c r="BW15" s="52"/>
      <c r="BX15" s="100"/>
      <c r="BY15" s="2"/>
      <c r="BZ15" s="2"/>
      <c r="CA15" s="2"/>
      <c r="CC15" s="8">
        <v>2019</v>
      </c>
      <c r="CG15" s="52"/>
      <c r="CH15" s="100"/>
      <c r="CI15" s="2"/>
      <c r="CJ15" s="2"/>
      <c r="CK15" s="2"/>
      <c r="CM15" s="8">
        <v>2019</v>
      </c>
      <c r="CQ15" s="100"/>
      <c r="CR15" s="100"/>
      <c r="CS15" s="2"/>
      <c r="CT15" s="2"/>
      <c r="CU15" s="2"/>
      <c r="CW15" s="8">
        <v>2019</v>
      </c>
      <c r="DA15" s="52"/>
      <c r="DB15" s="52"/>
      <c r="DC15" s="2"/>
      <c r="DD15" s="2"/>
      <c r="DE15" s="2"/>
      <c r="DG15" s="8">
        <v>2019</v>
      </c>
      <c r="DK15" s="52"/>
      <c r="DL15" s="52"/>
      <c r="DM15" s="2"/>
      <c r="DN15" s="2"/>
      <c r="DO15" s="2"/>
      <c r="DQ15" s="8">
        <v>2019</v>
      </c>
      <c r="DU15" s="52"/>
      <c r="DV15" s="100"/>
      <c r="DW15" s="2"/>
      <c r="DX15" s="2"/>
      <c r="DY15" s="2"/>
      <c r="EA15" s="8">
        <v>2019</v>
      </c>
      <c r="EE15" s="52"/>
      <c r="EF15" s="100"/>
      <c r="EG15" s="2"/>
      <c r="EH15" s="2"/>
      <c r="EI15" s="2"/>
    </row>
    <row r="16" spans="1:140" x14ac:dyDescent="0.3">
      <c r="A16" t="s">
        <v>10</v>
      </c>
      <c r="B16" s="3">
        <f>B11+B8</f>
        <v>1.5442</v>
      </c>
      <c r="D16" t="s">
        <v>12</v>
      </c>
      <c r="E16" s="41">
        <f>E3*0.01</f>
        <v>0</v>
      </c>
      <c r="F16" s="41"/>
      <c r="G16" s="41">
        <f>G3*0.02</f>
        <v>0</v>
      </c>
      <c r="H16" s="41"/>
      <c r="I16" s="41">
        <f>I3*0.03</f>
        <v>0</v>
      </c>
      <c r="K16" t="s">
        <v>10</v>
      </c>
      <c r="L16" s="3">
        <f>L11+L8</f>
        <v>1.7877000000000001</v>
      </c>
      <c r="N16" t="s">
        <v>12</v>
      </c>
      <c r="O16" s="41">
        <f>O3*0.01</f>
        <v>0</v>
      </c>
      <c r="P16" s="41"/>
      <c r="Q16" s="41">
        <f>Q3*0.02</f>
        <v>0</v>
      </c>
      <c r="R16" s="41"/>
      <c r="S16" s="41">
        <f>S3*0.03</f>
        <v>0</v>
      </c>
      <c r="U16" t="s">
        <v>10</v>
      </c>
      <c r="V16" s="3">
        <f>V11+V8</f>
        <v>1.4881000000000002</v>
      </c>
      <c r="X16" t="s">
        <v>29</v>
      </c>
      <c r="Y16" s="41">
        <f>Y3*0.01</f>
        <v>0</v>
      </c>
      <c r="Z16" s="41"/>
      <c r="AA16" s="41">
        <f>AA3*0.02</f>
        <v>0</v>
      </c>
      <c r="AB16" s="41"/>
      <c r="AC16" s="41">
        <f>AC3*0.03</f>
        <v>0</v>
      </c>
      <c r="AE16" t="s">
        <v>10</v>
      </c>
      <c r="AF16">
        <f>AF11+AF8</f>
        <v>1.5152999999999999</v>
      </c>
      <c r="AH16" t="s">
        <v>29</v>
      </c>
      <c r="AI16" s="52">
        <f>AI3*0.01</f>
        <v>0</v>
      </c>
      <c r="AJ16" s="52"/>
      <c r="AK16" s="41">
        <f>AK3*0.02</f>
        <v>0</v>
      </c>
      <c r="AL16" s="41"/>
      <c r="AM16" s="41">
        <f>AM3*0.03</f>
        <v>0</v>
      </c>
      <c r="AO16" t="s">
        <v>10</v>
      </c>
      <c r="AP16">
        <f>AP11+AP8</f>
        <v>1.5097</v>
      </c>
      <c r="AR16" t="s">
        <v>29</v>
      </c>
      <c r="AS16" s="52">
        <f>AS3*0.01</f>
        <v>0</v>
      </c>
      <c r="AT16" s="52"/>
      <c r="AU16" s="41">
        <f>AU3*0.02</f>
        <v>0</v>
      </c>
      <c r="AV16" s="41"/>
      <c r="AW16" s="41">
        <f>AW3*0.03</f>
        <v>0</v>
      </c>
      <c r="AY16" t="s">
        <v>10</v>
      </c>
      <c r="AZ16">
        <f>AZ11+AZ8</f>
        <v>2.0095000000000001</v>
      </c>
      <c r="BB16" t="s">
        <v>29</v>
      </c>
      <c r="BC16" s="52">
        <f>BC3*0.01</f>
        <v>0</v>
      </c>
      <c r="BD16" s="52"/>
      <c r="BE16" s="41">
        <f>BE3*0.02</f>
        <v>0</v>
      </c>
      <c r="BF16" s="41"/>
      <c r="BG16" s="41">
        <f>BG3*0.03</f>
        <v>0</v>
      </c>
      <c r="BI16" t="s">
        <v>10</v>
      </c>
      <c r="BJ16">
        <f>BJ11+BJ8</f>
        <v>2.6071</v>
      </c>
      <c r="BL16" t="s">
        <v>29</v>
      </c>
      <c r="BM16" s="52">
        <f>BM3*0.01</f>
        <v>0</v>
      </c>
      <c r="BN16" s="52"/>
      <c r="BO16" s="41">
        <f>BO3*0.02</f>
        <v>0</v>
      </c>
      <c r="BP16" s="41"/>
      <c r="BQ16" s="41">
        <f>BQ3*0.03</f>
        <v>0</v>
      </c>
      <c r="BS16" t="s">
        <v>10</v>
      </c>
      <c r="BT16">
        <f>BT11+BT8</f>
        <v>2.6844000000000001</v>
      </c>
      <c r="BV16" t="s">
        <v>29</v>
      </c>
      <c r="BW16" s="52">
        <f>BW3*0.01</f>
        <v>0</v>
      </c>
      <c r="BX16" s="100"/>
      <c r="BY16" s="41">
        <f>BY3*0.02</f>
        <v>0</v>
      </c>
      <c r="BZ16" s="41"/>
      <c r="CA16" s="41">
        <f>CA3*0.03</f>
        <v>0</v>
      </c>
      <c r="CC16" t="s">
        <v>10</v>
      </c>
      <c r="CD16">
        <f>CD11+CD8</f>
        <v>2.6604000000000001</v>
      </c>
      <c r="CF16" t="s">
        <v>29</v>
      </c>
      <c r="CG16" s="52">
        <f>CG3*0.01</f>
        <v>0</v>
      </c>
      <c r="CH16" s="52"/>
      <c r="CI16" s="41">
        <f>CI3*0.02</f>
        <v>0</v>
      </c>
      <c r="CJ16" s="41"/>
      <c r="CK16" s="41">
        <f>CK3*0.03</f>
        <v>0</v>
      </c>
      <c r="CM16" t="s">
        <v>10</v>
      </c>
      <c r="CN16">
        <f>CN11+CN8</f>
        <v>2.6587000000000001</v>
      </c>
      <c r="CP16" t="s">
        <v>29</v>
      </c>
      <c r="CQ16" s="52">
        <f>CQ3*0.01</f>
        <v>0</v>
      </c>
      <c r="CR16" s="52"/>
      <c r="CS16" s="41">
        <f>CS3*0.02</f>
        <v>0</v>
      </c>
      <c r="CT16" s="41"/>
      <c r="CU16" s="41">
        <f>CU3*0.03</f>
        <v>0</v>
      </c>
      <c r="CW16" t="s">
        <v>10</v>
      </c>
      <c r="CX16">
        <f>CX11+CX8</f>
        <v>3.2537000000000003</v>
      </c>
      <c r="CZ16" t="s">
        <v>29</v>
      </c>
      <c r="DA16" s="52">
        <f>DA3*0.01</f>
        <v>0</v>
      </c>
      <c r="DB16" s="52"/>
      <c r="DC16" s="41">
        <f>DC3*0.02</f>
        <v>0</v>
      </c>
      <c r="DD16" s="41"/>
      <c r="DE16" s="41">
        <f>DE3*0.03</f>
        <v>0</v>
      </c>
      <c r="DG16" t="s">
        <v>10</v>
      </c>
      <c r="DH16">
        <f>DH11+DH8</f>
        <v>3.5656000000000003</v>
      </c>
      <c r="DJ16" t="s">
        <v>29</v>
      </c>
      <c r="DK16" s="52">
        <f>DK3*0.01</f>
        <v>0</v>
      </c>
      <c r="DL16" s="52"/>
      <c r="DM16" s="41">
        <f>DM3*0.02</f>
        <v>0</v>
      </c>
      <c r="DN16" s="41"/>
      <c r="DO16" s="41">
        <f>DO3*0.03</f>
        <v>0</v>
      </c>
      <c r="DQ16" t="s">
        <v>10</v>
      </c>
      <c r="DR16">
        <f>DR11+DR8</f>
        <v>3.5590999999999999</v>
      </c>
      <c r="DT16" t="s">
        <v>29</v>
      </c>
      <c r="DU16" s="52">
        <f>DU3*0.01</f>
        <v>0</v>
      </c>
      <c r="DV16" s="100"/>
      <c r="DW16" s="41">
        <f>DW3*0.02</f>
        <v>0</v>
      </c>
      <c r="DX16" s="41"/>
      <c r="DY16" s="41">
        <f>DY3*0.03</f>
        <v>0</v>
      </c>
      <c r="EA16" t="s">
        <v>10</v>
      </c>
      <c r="EB16">
        <f>EB11+EB8</f>
        <v>2.4148000000000001</v>
      </c>
      <c r="ED16" t="s">
        <v>29</v>
      </c>
      <c r="EE16" s="52">
        <f>EE3*0.01</f>
        <v>0</v>
      </c>
      <c r="EF16" s="52"/>
      <c r="EG16" s="41">
        <f>EG3*0.02</f>
        <v>0</v>
      </c>
      <c r="EH16" s="41"/>
      <c r="EI16" s="41">
        <f>EI3*0.03</f>
        <v>0</v>
      </c>
    </row>
    <row r="17" spans="1:139" x14ac:dyDescent="0.3">
      <c r="A17" t="s">
        <v>11</v>
      </c>
      <c r="B17" s="3">
        <f>'Overall Calculator'!$J$44</f>
        <v>4.9799999999999997E-2</v>
      </c>
      <c r="C17" s="3"/>
      <c r="D17" t="s">
        <v>15</v>
      </c>
      <c r="E17" s="41">
        <f>B12*(E13/100)</f>
        <v>0</v>
      </c>
      <c r="F17" s="41"/>
      <c r="G17" s="41">
        <f>B12*(G13/100)</f>
        <v>0</v>
      </c>
      <c r="H17" s="41"/>
      <c r="I17" s="41">
        <f>B12*(I13/100)</f>
        <v>0</v>
      </c>
      <c r="K17" t="s">
        <v>11</v>
      </c>
      <c r="L17" s="3">
        <f>'Overall Calculator'!$J$44</f>
        <v>4.9799999999999997E-2</v>
      </c>
      <c r="M17" s="3"/>
      <c r="N17" t="s">
        <v>15</v>
      </c>
      <c r="O17" s="41">
        <f>L12*(O13/100)</f>
        <v>0</v>
      </c>
      <c r="P17" s="41"/>
      <c r="Q17" s="41">
        <f>L12*(Q13/100)</f>
        <v>0</v>
      </c>
      <c r="R17" s="41"/>
      <c r="S17" s="41">
        <f>L12*(S13/100)</f>
        <v>0</v>
      </c>
      <c r="U17" t="s">
        <v>11</v>
      </c>
      <c r="V17" s="3">
        <f>'Overall Calculator'!$J$44</f>
        <v>4.9799999999999997E-2</v>
      </c>
      <c r="W17" s="3"/>
      <c r="X17" t="s">
        <v>12</v>
      </c>
      <c r="Y17" s="41">
        <f>V12*(Y13/100)</f>
        <v>0</v>
      </c>
      <c r="Z17" s="41"/>
      <c r="AA17" s="41">
        <f>V12*(AA13/100)</f>
        <v>0</v>
      </c>
      <c r="AB17" s="41"/>
      <c r="AC17" s="41">
        <f>V12*(AC13/100)</f>
        <v>0</v>
      </c>
      <c r="AE17" t="s">
        <v>11</v>
      </c>
      <c r="AF17" s="3">
        <v>6.0499999999999998E-2</v>
      </c>
      <c r="AH17" t="s">
        <v>12</v>
      </c>
      <c r="AI17" s="52">
        <f>AF12*(AI13/100)</f>
        <v>0</v>
      </c>
      <c r="AJ17" s="52"/>
      <c r="AK17" s="41">
        <f>AF12*(AK13/100)</f>
        <v>0</v>
      </c>
      <c r="AL17" s="41"/>
      <c r="AM17" s="41">
        <f>AF12*(AM13/100)</f>
        <v>0</v>
      </c>
      <c r="AO17" t="s">
        <v>11</v>
      </c>
      <c r="AP17" s="3">
        <f>'Overall Calculator'!$J$44</f>
        <v>4.9799999999999997E-2</v>
      </c>
      <c r="AR17" t="s">
        <v>12</v>
      </c>
      <c r="AS17" s="52">
        <f>AP12*(AS13/100)</f>
        <v>0</v>
      </c>
      <c r="AT17" s="52"/>
      <c r="AU17" s="41">
        <f>AP12*(AU13/100)</f>
        <v>0</v>
      </c>
      <c r="AV17" s="41"/>
      <c r="AW17" s="41">
        <f>AP12*(AW13/100)</f>
        <v>0</v>
      </c>
      <c r="AY17" t="s">
        <v>11</v>
      </c>
      <c r="AZ17" s="3">
        <f>'Overall Calculator'!$J$44</f>
        <v>4.9799999999999997E-2</v>
      </c>
      <c r="BB17" t="s">
        <v>12</v>
      </c>
      <c r="BC17" s="52">
        <f>AZ12*(BC13/100)</f>
        <v>0</v>
      </c>
      <c r="BD17" s="52"/>
      <c r="BE17" s="41">
        <f>AZ12*(BE13/100)</f>
        <v>0</v>
      </c>
      <c r="BF17" s="41"/>
      <c r="BG17" s="41">
        <f>AZ12*(BG13/100)</f>
        <v>0</v>
      </c>
      <c r="BI17" t="s">
        <v>11</v>
      </c>
      <c r="BJ17" s="3">
        <f>'Overall Calculator'!$J$44</f>
        <v>4.9799999999999997E-2</v>
      </c>
      <c r="BL17" t="s">
        <v>12</v>
      </c>
      <c r="BM17" s="52">
        <f>BJ12*(BM13/100)</f>
        <v>0</v>
      </c>
      <c r="BN17" s="52"/>
      <c r="BO17" s="41">
        <f>BJ12*(BO13/100)</f>
        <v>0</v>
      </c>
      <c r="BP17" s="41"/>
      <c r="BQ17" s="41">
        <f>BJ12*(BQ13/100)</f>
        <v>0</v>
      </c>
      <c r="BS17" t="s">
        <v>11</v>
      </c>
      <c r="BT17" s="3">
        <f>'Overall Calculator'!$J$44</f>
        <v>4.9799999999999997E-2</v>
      </c>
      <c r="BV17" t="s">
        <v>12</v>
      </c>
      <c r="BW17" s="52">
        <f>BT12*(BW13/100)</f>
        <v>0</v>
      </c>
      <c r="BX17" s="52"/>
      <c r="BY17" s="41">
        <f>BT12*(BY13/100)</f>
        <v>0</v>
      </c>
      <c r="BZ17" s="41"/>
      <c r="CA17" s="41">
        <f>BT12*(CA13/100)</f>
        <v>0</v>
      </c>
      <c r="CC17" t="s">
        <v>11</v>
      </c>
      <c r="CD17" s="3">
        <f>'Overall Calculator'!$J$44</f>
        <v>4.9799999999999997E-2</v>
      </c>
      <c r="CF17" t="s">
        <v>12</v>
      </c>
      <c r="CG17" s="52">
        <f>CD12*(CG13/100)</f>
        <v>0</v>
      </c>
      <c r="CH17" s="52"/>
      <c r="CI17" s="41">
        <f>CD12*(CI13/100)</f>
        <v>0</v>
      </c>
      <c r="CJ17" s="41"/>
      <c r="CK17" s="41">
        <f>CD12*(CK13/100)</f>
        <v>0</v>
      </c>
      <c r="CM17" t="s">
        <v>11</v>
      </c>
      <c r="CN17" s="3">
        <f>'Overall Calculator'!$J$44</f>
        <v>4.9799999999999997E-2</v>
      </c>
      <c r="CP17" t="s">
        <v>12</v>
      </c>
      <c r="CQ17" s="52">
        <f>CN12*(CQ13/100)</f>
        <v>0</v>
      </c>
      <c r="CR17" s="52"/>
      <c r="CS17" s="41">
        <f>CN12*(CS13/100)</f>
        <v>0</v>
      </c>
      <c r="CT17" s="41"/>
      <c r="CU17" s="41">
        <f>CN12*(CU13/100)</f>
        <v>0</v>
      </c>
      <c r="CW17" t="s">
        <v>11</v>
      </c>
      <c r="CX17" s="3">
        <f>'Overall Calculator'!$J$44</f>
        <v>4.9799999999999997E-2</v>
      </c>
      <c r="CZ17" t="s">
        <v>12</v>
      </c>
      <c r="DA17" s="52">
        <f>CX12*(DA13/100)</f>
        <v>0</v>
      </c>
      <c r="DB17" s="52"/>
      <c r="DC17" s="41">
        <f>CX12*(DC13/100)</f>
        <v>0</v>
      </c>
      <c r="DD17" s="41"/>
      <c r="DE17" s="41">
        <f>CX12*(DE13/100)</f>
        <v>0</v>
      </c>
      <c r="DG17" t="s">
        <v>11</v>
      </c>
      <c r="DH17" s="3">
        <f>'Overall Calculator'!$J$44</f>
        <v>4.9799999999999997E-2</v>
      </c>
      <c r="DJ17" t="s">
        <v>12</v>
      </c>
      <c r="DK17" s="52">
        <f>DH12*(DK13/100)</f>
        <v>0</v>
      </c>
      <c r="DL17" s="52"/>
      <c r="DM17" s="41">
        <f>DH12*(DM13/100)</f>
        <v>0</v>
      </c>
      <c r="DN17" s="41"/>
      <c r="DO17" s="41">
        <f>DH12*(DO13/100)</f>
        <v>0</v>
      </c>
      <c r="DQ17" t="s">
        <v>11</v>
      </c>
      <c r="DR17" s="3">
        <f>'Overall Calculator'!$J$44</f>
        <v>4.9799999999999997E-2</v>
      </c>
      <c r="DT17" t="s">
        <v>12</v>
      </c>
      <c r="DU17" s="52">
        <f>DR12*(DU13/100)</f>
        <v>0</v>
      </c>
      <c r="DV17" s="52"/>
      <c r="DW17" s="41">
        <f>DR12*(DW13/100)</f>
        <v>0</v>
      </c>
      <c r="DX17" s="41"/>
      <c r="DY17" s="41">
        <f>DR12*(DY13/100)</f>
        <v>0</v>
      </c>
      <c r="EA17" t="s">
        <v>11</v>
      </c>
      <c r="EB17" s="3">
        <f>'Overall Calculator'!$J$44</f>
        <v>4.9799999999999997E-2</v>
      </c>
      <c r="ED17" t="s">
        <v>12</v>
      </c>
      <c r="EE17" s="52">
        <f>EB12*(EE13/100)</f>
        <v>0</v>
      </c>
      <c r="EF17" s="52"/>
      <c r="EG17" s="41">
        <f>EB12*(EG13/100)</f>
        <v>0</v>
      </c>
      <c r="EH17" s="41"/>
      <c r="EI17" s="41">
        <f>EB12*(EI13/100)</f>
        <v>0</v>
      </c>
    </row>
    <row r="18" spans="1:139" x14ac:dyDescent="0.3">
      <c r="A18" t="s">
        <v>14</v>
      </c>
      <c r="B18" s="3">
        <f>B16-B17</f>
        <v>1.4944</v>
      </c>
      <c r="D18" t="s">
        <v>16</v>
      </c>
      <c r="E18" s="41">
        <f>E16+E17</f>
        <v>0</v>
      </c>
      <c r="F18" s="41"/>
      <c r="G18" s="41">
        <f>G16+G17</f>
        <v>0</v>
      </c>
      <c r="H18" s="41"/>
      <c r="I18" s="41">
        <f>I16+I17</f>
        <v>0</v>
      </c>
      <c r="K18" t="s">
        <v>14</v>
      </c>
      <c r="L18" s="3">
        <f>L16-L17</f>
        <v>1.7379</v>
      </c>
      <c r="N18" t="s">
        <v>16</v>
      </c>
      <c r="O18" s="41">
        <f>O16+O17</f>
        <v>0</v>
      </c>
      <c r="P18" s="41"/>
      <c r="Q18" s="41">
        <f>Q16+Q17</f>
        <v>0</v>
      </c>
      <c r="R18" s="41"/>
      <c r="S18" s="41">
        <f>S16+S17</f>
        <v>0</v>
      </c>
      <c r="U18" t="s">
        <v>14</v>
      </c>
      <c r="V18" s="3">
        <f>V16-V17</f>
        <v>1.4383000000000001</v>
      </c>
      <c r="X18" t="s">
        <v>15</v>
      </c>
      <c r="Y18" s="41">
        <f>Y16+Y17</f>
        <v>0</v>
      </c>
      <c r="Z18" s="41"/>
      <c r="AA18" s="41">
        <f>AA16+AA17</f>
        <v>0</v>
      </c>
      <c r="AB18" s="41"/>
      <c r="AC18" s="41">
        <f>AC16+AC17</f>
        <v>0</v>
      </c>
      <c r="AE18" t="s">
        <v>14</v>
      </c>
      <c r="AF18">
        <f>AF16-AF17</f>
        <v>1.4547999999999999</v>
      </c>
      <c r="AH18" t="s">
        <v>15</v>
      </c>
      <c r="AI18" s="52">
        <f>AI16+AI17</f>
        <v>0</v>
      </c>
      <c r="AJ18" s="52"/>
      <c r="AK18" s="41">
        <f>AK16+AK17</f>
        <v>0</v>
      </c>
      <c r="AL18" s="41"/>
      <c r="AM18" s="41">
        <f>AM16+AM17</f>
        <v>0</v>
      </c>
      <c r="AO18" t="s">
        <v>14</v>
      </c>
      <c r="AP18">
        <f>AP16-AP17</f>
        <v>1.4599</v>
      </c>
      <c r="AR18" t="s">
        <v>15</v>
      </c>
      <c r="AS18" s="52">
        <f>AS16+AS17</f>
        <v>0</v>
      </c>
      <c r="AT18" s="52"/>
      <c r="AU18" s="41">
        <f>AU16+AU17</f>
        <v>0</v>
      </c>
      <c r="AV18" s="41"/>
      <c r="AW18" s="41">
        <f>AW16+AW17</f>
        <v>0</v>
      </c>
      <c r="AY18" t="s">
        <v>14</v>
      </c>
      <c r="AZ18">
        <f>AZ16-AZ17</f>
        <v>1.9597</v>
      </c>
      <c r="BB18" t="s">
        <v>15</v>
      </c>
      <c r="BC18" s="52">
        <f>BC16+BC17</f>
        <v>0</v>
      </c>
      <c r="BD18" s="52"/>
      <c r="BE18" s="41">
        <f>BE16+BE17</f>
        <v>0</v>
      </c>
      <c r="BF18" s="41"/>
      <c r="BG18" s="41">
        <f>BG16+BG17</f>
        <v>0</v>
      </c>
      <c r="BI18" t="s">
        <v>14</v>
      </c>
      <c r="BJ18">
        <f>BJ16-BJ17</f>
        <v>2.5573000000000001</v>
      </c>
      <c r="BL18" t="s">
        <v>15</v>
      </c>
      <c r="BM18" s="52">
        <f>BM16+BM17</f>
        <v>0</v>
      </c>
      <c r="BN18" s="52"/>
      <c r="BO18" s="41">
        <f>BO16+BO17</f>
        <v>0</v>
      </c>
      <c r="BP18" s="41"/>
      <c r="BQ18" s="41">
        <f>BQ16+BQ17</f>
        <v>0</v>
      </c>
      <c r="BS18" t="s">
        <v>14</v>
      </c>
      <c r="BT18">
        <f>BT16-BT17</f>
        <v>2.6346000000000003</v>
      </c>
      <c r="BV18" t="s">
        <v>15</v>
      </c>
      <c r="BW18" s="52">
        <f>BW16+BW17</f>
        <v>0</v>
      </c>
      <c r="BX18" s="52"/>
      <c r="BY18" s="41">
        <f>BY16+BY17</f>
        <v>0</v>
      </c>
      <c r="BZ18" s="41"/>
      <c r="CA18" s="41">
        <f>CA16+CA17</f>
        <v>0</v>
      </c>
      <c r="CC18" t="s">
        <v>14</v>
      </c>
      <c r="CD18">
        <f>CD16-CD17</f>
        <v>2.6106000000000003</v>
      </c>
      <c r="CF18" t="s">
        <v>15</v>
      </c>
      <c r="CG18" s="52">
        <f>CG16+CG17</f>
        <v>0</v>
      </c>
      <c r="CH18" s="52"/>
      <c r="CI18" s="41">
        <f>CI16+CI17</f>
        <v>0</v>
      </c>
      <c r="CJ18" s="41"/>
      <c r="CK18" s="41">
        <f>CK16+CK17</f>
        <v>0</v>
      </c>
      <c r="CM18" t="s">
        <v>14</v>
      </c>
      <c r="CN18">
        <f>CN16-CN17</f>
        <v>2.6089000000000002</v>
      </c>
      <c r="CP18" t="s">
        <v>15</v>
      </c>
      <c r="CQ18" s="52">
        <f>CQ16+CQ17</f>
        <v>0</v>
      </c>
      <c r="CR18" s="52"/>
      <c r="CS18" s="41">
        <f>CS16+CS17</f>
        <v>0</v>
      </c>
      <c r="CT18" s="41"/>
      <c r="CU18" s="41">
        <f>CU16+CU17</f>
        <v>0</v>
      </c>
      <c r="CW18" t="s">
        <v>14</v>
      </c>
      <c r="CX18">
        <f>CX16-CX17</f>
        <v>3.2039000000000004</v>
      </c>
      <c r="CZ18" t="s">
        <v>15</v>
      </c>
      <c r="DA18" s="52">
        <f>DA16+DA17</f>
        <v>0</v>
      </c>
      <c r="DB18" s="52"/>
      <c r="DC18" s="41">
        <f>DC16+DC17</f>
        <v>0</v>
      </c>
      <c r="DD18" s="41"/>
      <c r="DE18" s="41">
        <f>DE16+DE17</f>
        <v>0</v>
      </c>
      <c r="DG18" t="s">
        <v>14</v>
      </c>
      <c r="DH18">
        <f>DH16-DH17</f>
        <v>3.5158000000000005</v>
      </c>
      <c r="DJ18" t="s">
        <v>15</v>
      </c>
      <c r="DK18" s="52">
        <f>DK16+DK17</f>
        <v>0</v>
      </c>
      <c r="DL18" s="52"/>
      <c r="DM18" s="41">
        <f>DM16+DM17</f>
        <v>0</v>
      </c>
      <c r="DN18" s="41"/>
      <c r="DO18" s="41">
        <f>DO16+DO17</f>
        <v>0</v>
      </c>
      <c r="DQ18" t="s">
        <v>14</v>
      </c>
      <c r="DR18">
        <f>DR16-DR17</f>
        <v>3.5093000000000001</v>
      </c>
      <c r="DT18" t="s">
        <v>15</v>
      </c>
      <c r="DU18" s="52">
        <f>DU16+DU17</f>
        <v>0</v>
      </c>
      <c r="DV18" s="52"/>
      <c r="DW18" s="41">
        <f>DW16+DW17</f>
        <v>0</v>
      </c>
      <c r="DX18" s="41"/>
      <c r="DY18" s="41">
        <f>DY16+DY17</f>
        <v>0</v>
      </c>
      <c r="EA18" t="s">
        <v>14</v>
      </c>
      <c r="EB18">
        <f>EB16-EB17</f>
        <v>2.3650000000000002</v>
      </c>
      <c r="ED18" t="s">
        <v>15</v>
      </c>
      <c r="EE18" s="52">
        <f>EE16+EE17</f>
        <v>0</v>
      </c>
      <c r="EF18" s="52"/>
      <c r="EG18" s="41">
        <f>EG16+EG17</f>
        <v>0</v>
      </c>
      <c r="EH18" s="41"/>
      <c r="EI18" s="41">
        <f>EI16+EI17</f>
        <v>0</v>
      </c>
    </row>
    <row r="19" spans="1:139" x14ac:dyDescent="0.3">
      <c r="E19" s="41"/>
      <c r="F19" s="41"/>
      <c r="G19" s="41"/>
      <c r="H19" s="41"/>
      <c r="I19" s="41"/>
      <c r="O19" s="41"/>
      <c r="P19" s="41"/>
      <c r="Q19" s="41"/>
      <c r="R19" s="41"/>
      <c r="S19" s="41"/>
      <c r="X19" t="s">
        <v>16</v>
      </c>
      <c r="Y19" s="41"/>
      <c r="Z19" s="41"/>
      <c r="AA19" s="41"/>
      <c r="AB19" s="41"/>
      <c r="AC19" s="41"/>
      <c r="AH19" t="s">
        <v>16</v>
      </c>
      <c r="AI19" s="52"/>
      <c r="AJ19" s="52"/>
      <c r="AK19" s="41"/>
      <c r="AL19" s="41"/>
      <c r="AM19" s="41"/>
      <c r="AR19" t="s">
        <v>16</v>
      </c>
      <c r="AS19" s="52"/>
      <c r="AT19" s="52"/>
      <c r="AU19" s="41"/>
      <c r="AV19" s="41"/>
      <c r="AW19" s="41"/>
      <c r="BB19" t="s">
        <v>16</v>
      </c>
      <c r="BC19" s="52"/>
      <c r="BD19" s="52"/>
      <c r="BE19" s="41"/>
      <c r="BF19" s="41"/>
      <c r="BG19" s="41"/>
      <c r="BL19" t="s">
        <v>16</v>
      </c>
      <c r="BM19" s="52"/>
      <c r="BN19" s="52"/>
      <c r="BO19" s="41"/>
      <c r="BP19" s="41"/>
      <c r="BQ19" s="41"/>
      <c r="BV19" t="s">
        <v>16</v>
      </c>
      <c r="BW19" s="52"/>
      <c r="BX19" s="52"/>
      <c r="BY19" s="41"/>
      <c r="BZ19" s="41"/>
      <c r="CA19" s="41"/>
      <c r="CF19" t="s">
        <v>16</v>
      </c>
      <c r="CG19" s="52"/>
      <c r="CH19" s="52"/>
      <c r="CI19" s="41"/>
      <c r="CJ19" s="41"/>
      <c r="CK19" s="41"/>
      <c r="CP19" t="s">
        <v>16</v>
      </c>
      <c r="CQ19" s="52"/>
      <c r="CR19" s="52"/>
      <c r="CS19" s="41"/>
      <c r="CT19" s="41"/>
      <c r="CU19" s="41"/>
      <c r="CZ19" t="s">
        <v>16</v>
      </c>
      <c r="DA19" s="52"/>
      <c r="DB19" s="52"/>
      <c r="DC19" s="41"/>
      <c r="DD19" s="41"/>
      <c r="DE19" s="41"/>
      <c r="DJ19" t="s">
        <v>16</v>
      </c>
      <c r="DK19" s="52"/>
      <c r="DL19" s="52"/>
      <c r="DM19" s="41"/>
      <c r="DN19" s="41"/>
      <c r="DO19" s="41"/>
      <c r="DT19" t="s">
        <v>16</v>
      </c>
      <c r="DU19" s="52"/>
      <c r="DV19" s="52"/>
      <c r="DW19" s="41"/>
      <c r="DX19" s="41"/>
      <c r="DY19" s="41"/>
      <c r="ED19" t="s">
        <v>16</v>
      </c>
      <c r="EE19" s="52"/>
      <c r="EF19" s="52"/>
      <c r="EG19" s="41"/>
      <c r="EH19" s="41"/>
      <c r="EI19" s="41"/>
    </row>
    <row r="20" spans="1:139" x14ac:dyDescent="0.3">
      <c r="C20" s="10"/>
      <c r="D20" t="s">
        <v>13</v>
      </c>
      <c r="E20" s="41">
        <f>B11*(E13/100)</f>
        <v>-46.785000000000004</v>
      </c>
      <c r="F20" s="41"/>
      <c r="G20" s="93">
        <f>B11*(G13/100)</f>
        <v>0</v>
      </c>
      <c r="H20" s="41"/>
      <c r="I20" s="41">
        <f>B11*(I13/100)</f>
        <v>0</v>
      </c>
      <c r="M20" s="10"/>
      <c r="N20" t="s">
        <v>13</v>
      </c>
      <c r="O20" s="41">
        <f>L11*(O13/100)</f>
        <v>-54.089999999999996</v>
      </c>
      <c r="P20" s="41"/>
      <c r="Q20" s="93">
        <f>L11*(Q13/100)</f>
        <v>0</v>
      </c>
      <c r="R20" s="41"/>
      <c r="S20" s="41">
        <f>L11*(S13/100)</f>
        <v>0</v>
      </c>
      <c r="W20" s="10"/>
      <c r="Y20" s="41">
        <f>V11*(Y13/100)</f>
        <v>-45.102000000000004</v>
      </c>
      <c r="Z20" s="41"/>
      <c r="AA20" s="93">
        <f>V11*(AA13/100)</f>
        <v>0</v>
      </c>
      <c r="AB20" s="41"/>
      <c r="AC20" s="41">
        <f>V11*(AC13/100)</f>
        <v>0</v>
      </c>
      <c r="AI20" s="52">
        <f>AF11*(AI13/100)</f>
        <v>-45.917999999999999</v>
      </c>
      <c r="AJ20" s="52"/>
      <c r="AK20" s="93">
        <f>AF11*(AK13/100)</f>
        <v>0</v>
      </c>
      <c r="AL20" s="41"/>
      <c r="AM20" s="41">
        <f>AF11*(AM13/100)</f>
        <v>0</v>
      </c>
      <c r="AS20" s="52">
        <f>AP11*(AS13/100)</f>
        <v>-45.75</v>
      </c>
      <c r="AT20" s="52"/>
      <c r="AU20" s="93">
        <f>AP11*(AU13/100)</f>
        <v>0</v>
      </c>
      <c r="AV20" s="41"/>
      <c r="AW20" s="41">
        <f>AP11*(AW13/100)</f>
        <v>0</v>
      </c>
      <c r="BC20" s="52">
        <f>AZ11*(BC13/100)</f>
        <v>-60.744</v>
      </c>
      <c r="BD20" s="52"/>
      <c r="BE20" s="93">
        <f>AZ11*(BE13/100)</f>
        <v>0</v>
      </c>
      <c r="BF20" s="41"/>
      <c r="BG20" s="41">
        <f>AZ11*(BG13/100)</f>
        <v>0</v>
      </c>
      <c r="BM20" s="52">
        <f>BJ11*(BM13/100)</f>
        <v>-78.671999999999997</v>
      </c>
      <c r="BN20" s="52"/>
      <c r="BO20" s="93">
        <f>BJ11*(BO13/100)</f>
        <v>0</v>
      </c>
      <c r="BP20" s="41"/>
      <c r="BQ20" s="41">
        <f>BJ11*(BQ13/100)</f>
        <v>0</v>
      </c>
      <c r="BW20" s="52">
        <f>BT11*(BW13/100)</f>
        <v>-80.991</v>
      </c>
      <c r="BX20" s="52"/>
      <c r="BY20" s="93">
        <f>BT11*(BY13/100)</f>
        <v>0</v>
      </c>
      <c r="BZ20" s="41"/>
      <c r="CA20" s="41">
        <f>BT11*(CA13/100)</f>
        <v>0</v>
      </c>
      <c r="CG20" s="52">
        <f>CD11*(CG13/100)</f>
        <v>-80.271000000000001</v>
      </c>
      <c r="CH20" s="52"/>
      <c r="CI20" s="93">
        <f>CD11*(CI13/100)</f>
        <v>0</v>
      </c>
      <c r="CJ20" s="41"/>
      <c r="CK20" s="41">
        <f>CD11*(CK13/100)</f>
        <v>0</v>
      </c>
      <c r="CQ20" s="52">
        <f>CN11*(CQ13/100)</f>
        <v>-80.22</v>
      </c>
      <c r="CR20" s="52"/>
      <c r="CS20" s="93">
        <f>CN11*(CS13/100)</f>
        <v>0</v>
      </c>
      <c r="CT20" s="41"/>
      <c r="CU20" s="41">
        <f>CN11*(CU13/100)</f>
        <v>0</v>
      </c>
      <c r="DA20" s="52">
        <f>CX11*(DA13/100)</f>
        <v>-98.070000000000007</v>
      </c>
      <c r="DB20" s="52"/>
      <c r="DC20" s="93">
        <f>CX11*(DC13/100)</f>
        <v>0</v>
      </c>
      <c r="DD20" s="41"/>
      <c r="DE20" s="41">
        <f>CX11*(DE13/100)</f>
        <v>0</v>
      </c>
      <c r="DK20" s="52">
        <f>DH11*(DK13/100)</f>
        <v>-107.42700000000001</v>
      </c>
      <c r="DL20" s="52"/>
      <c r="DM20" s="93">
        <f>DH11*(DM13/100)</f>
        <v>0</v>
      </c>
      <c r="DN20" s="41"/>
      <c r="DO20" s="41">
        <f>DH11*(DO13/100)</f>
        <v>0</v>
      </c>
      <c r="DU20" s="52">
        <f>DR11*(DU13/100)</f>
        <v>-107.232</v>
      </c>
      <c r="DV20" s="52"/>
      <c r="DW20" s="93">
        <f>DR11*(DW13/100)</f>
        <v>0</v>
      </c>
      <c r="DX20" s="41"/>
      <c r="DY20" s="41">
        <f>DR11*(DY13/100)</f>
        <v>0</v>
      </c>
      <c r="EE20" s="52">
        <f>EB11*(EE13/100)</f>
        <v>-72.902999999999992</v>
      </c>
      <c r="EF20" s="52"/>
      <c r="EG20" s="93">
        <f>EB11*(EG13/100)</f>
        <v>0</v>
      </c>
      <c r="EH20" s="41"/>
      <c r="EI20" s="41">
        <f>EB11*(EI13/100)</f>
        <v>0</v>
      </c>
    </row>
    <row r="21" spans="1:139" x14ac:dyDescent="0.3">
      <c r="A21" s="54" t="s">
        <v>74</v>
      </c>
      <c r="C21" s="10"/>
      <c r="E21" s="41"/>
      <c r="F21" s="41"/>
      <c r="G21" s="41"/>
      <c r="H21" s="41"/>
      <c r="I21" s="41"/>
      <c r="M21" s="10"/>
      <c r="O21" s="41"/>
      <c r="P21" s="41"/>
      <c r="Q21" s="41"/>
      <c r="R21" s="41"/>
      <c r="S21" s="41"/>
      <c r="W21" s="10"/>
      <c r="X21" t="s">
        <v>13</v>
      </c>
      <c r="Y21" s="41"/>
      <c r="Z21" s="41"/>
      <c r="AA21" s="41"/>
      <c r="AB21" s="41"/>
      <c r="AC21" s="41"/>
      <c r="AH21" t="s">
        <v>13</v>
      </c>
      <c r="AI21" s="52"/>
      <c r="AJ21" s="52"/>
      <c r="AK21" s="41"/>
      <c r="AL21" s="41"/>
      <c r="AM21" s="41"/>
      <c r="AR21" t="s">
        <v>13</v>
      </c>
      <c r="AS21" s="52"/>
      <c r="AT21" s="52"/>
      <c r="AU21" s="41"/>
      <c r="AV21" s="41"/>
      <c r="AW21" s="41"/>
      <c r="BB21" t="s">
        <v>13</v>
      </c>
      <c r="BC21" s="52"/>
      <c r="BD21" s="52"/>
      <c r="BE21" s="41"/>
      <c r="BF21" s="41"/>
      <c r="BG21" s="41"/>
      <c r="BL21" t="s">
        <v>13</v>
      </c>
      <c r="BM21" s="52"/>
      <c r="BN21" s="52"/>
      <c r="BO21" s="41"/>
      <c r="BP21" s="41"/>
      <c r="BQ21" s="41"/>
      <c r="BV21" t="s">
        <v>13</v>
      </c>
      <c r="BW21" s="52"/>
      <c r="BX21" s="52"/>
      <c r="BY21" s="41"/>
      <c r="BZ21" s="41"/>
      <c r="CA21" s="41"/>
      <c r="CF21" t="s">
        <v>13</v>
      </c>
      <c r="CG21" s="52"/>
      <c r="CH21" s="52"/>
      <c r="CI21" s="41"/>
      <c r="CJ21" s="41"/>
      <c r="CK21" s="41"/>
      <c r="CP21" t="s">
        <v>13</v>
      </c>
      <c r="CQ21" s="52"/>
      <c r="CR21" s="52"/>
      <c r="CS21" s="41"/>
      <c r="CT21" s="41"/>
      <c r="CU21" s="41"/>
      <c r="CZ21" t="s">
        <v>13</v>
      </c>
      <c r="DA21" s="52"/>
      <c r="DB21" s="52"/>
      <c r="DC21" s="41"/>
      <c r="DD21" s="41"/>
      <c r="DE21" s="41"/>
      <c r="DJ21" t="s">
        <v>13</v>
      </c>
      <c r="DK21" s="52"/>
      <c r="DL21" s="52"/>
      <c r="DM21" s="41"/>
      <c r="DN21" s="41"/>
      <c r="DO21" s="41"/>
      <c r="DT21" t="s">
        <v>13</v>
      </c>
      <c r="DU21" s="52"/>
      <c r="DV21" s="52"/>
      <c r="DW21" s="41"/>
      <c r="DX21" s="41"/>
      <c r="DY21" s="41"/>
      <c r="ED21" t="s">
        <v>13</v>
      </c>
      <c r="EE21" s="52"/>
      <c r="EF21" s="52"/>
      <c r="EG21" s="41"/>
      <c r="EH21" s="41"/>
      <c r="EI21" s="41"/>
    </row>
    <row r="22" spans="1:139" x14ac:dyDescent="0.3">
      <c r="A22" s="55" t="s">
        <v>75</v>
      </c>
      <c r="D22" t="s">
        <v>17</v>
      </c>
      <c r="E22" s="41">
        <f>IF(E20&lt;E18,E20,E18)</f>
        <v>-46.785000000000004</v>
      </c>
      <c r="F22" s="41"/>
      <c r="G22" s="41">
        <f>IF(G20&lt;G18,G20,G18)</f>
        <v>0</v>
      </c>
      <c r="H22" s="41"/>
      <c r="I22" s="41">
        <f>IF(I20&lt;I18,I20,I18)</f>
        <v>0</v>
      </c>
      <c r="N22" t="s">
        <v>17</v>
      </c>
      <c r="O22" s="41">
        <f>IF(O20&lt;O18,O20,O18)</f>
        <v>-54.089999999999996</v>
      </c>
      <c r="P22" s="41"/>
      <c r="Q22" s="41">
        <f>IF(Q20&lt;Q18,Q20,Q18)</f>
        <v>0</v>
      </c>
      <c r="R22" s="41"/>
      <c r="S22" s="41">
        <f>IF(S20&lt;S18,S20,S18)</f>
        <v>0</v>
      </c>
      <c r="Y22" s="41">
        <f>IF(Y20&lt;Y18,Y20,Y18)</f>
        <v>-45.102000000000004</v>
      </c>
      <c r="Z22" s="41"/>
      <c r="AA22" s="41">
        <f>IF(AA20&lt;AA18,AA20,AA18)</f>
        <v>0</v>
      </c>
      <c r="AB22" s="41"/>
      <c r="AC22" s="41">
        <f>IF(AC20&lt;AC18,AC20,AC18)</f>
        <v>0</v>
      </c>
      <c r="AI22" s="52">
        <f>IF(AI20&lt;AI18,AI20,AI18)</f>
        <v>-45.917999999999999</v>
      </c>
      <c r="AJ22" s="52"/>
      <c r="AK22" s="41">
        <f>IF(AK20&lt;AK18,AK20,AK18)</f>
        <v>0</v>
      </c>
      <c r="AL22" s="41"/>
      <c r="AM22" s="41">
        <f>IF(AM20&lt;AM18,AM20,AM18)</f>
        <v>0</v>
      </c>
      <c r="AS22" s="52">
        <f>IF(AS20&lt;AS18,AS20,AS18)</f>
        <v>-45.75</v>
      </c>
      <c r="AT22" s="52"/>
      <c r="AU22" s="41">
        <f>IF(AU20&lt;AU18,AU20,AU18)</f>
        <v>0</v>
      </c>
      <c r="AV22" s="41"/>
      <c r="AW22" s="41">
        <f>IF(AW20&lt;AW18,AW20,AW18)</f>
        <v>0</v>
      </c>
      <c r="BC22" s="52">
        <f>IF(BC20&lt;BC18,BC20,BC18)</f>
        <v>-60.744</v>
      </c>
      <c r="BD22" s="52"/>
      <c r="BE22" s="41">
        <f>IF(BE20&lt;BE18,BE20,BE18)</f>
        <v>0</v>
      </c>
      <c r="BF22" s="41"/>
      <c r="BG22" s="41">
        <f>IF(BG20&lt;BG18,BG20,BG18)</f>
        <v>0</v>
      </c>
      <c r="BM22" s="52">
        <f>IF(BM20&lt;BM18,BM20,BM18)</f>
        <v>-78.671999999999997</v>
      </c>
      <c r="BN22" s="52"/>
      <c r="BO22" s="41">
        <f>IF(BO20&lt;BO18,BO20,BO18)</f>
        <v>0</v>
      </c>
      <c r="BP22" s="41"/>
      <c r="BQ22" s="41">
        <f>IF(BQ20&lt;BQ18,BQ20,BQ18)</f>
        <v>0</v>
      </c>
      <c r="BW22" s="52">
        <f>IF(BW20&lt;BW18,BW20,BW18)</f>
        <v>-80.991</v>
      </c>
      <c r="BX22" s="52"/>
      <c r="BY22" s="41">
        <f>IF(BY20&lt;BY18,BY20,BY18)</f>
        <v>0</v>
      </c>
      <c r="BZ22" s="41"/>
      <c r="CA22" s="41">
        <f>IF(CA20&lt;CA18,CA20,CA18)</f>
        <v>0</v>
      </c>
      <c r="CG22" s="52">
        <f>IF(CG20&lt;CG18,CG20,CG18)</f>
        <v>-80.271000000000001</v>
      </c>
      <c r="CH22" s="52"/>
      <c r="CI22" s="41">
        <f>IF(CI20&lt;CI18,CI20,CI18)</f>
        <v>0</v>
      </c>
      <c r="CJ22" s="41"/>
      <c r="CK22" s="41">
        <f>IF(CK20&lt;CK18,CK20,CK18)</f>
        <v>0</v>
      </c>
      <c r="CQ22" s="52">
        <f>IF(CQ20&lt;CQ18,CQ20,CQ18)</f>
        <v>-80.22</v>
      </c>
      <c r="CR22" s="52"/>
      <c r="CS22" s="41">
        <f>IF(CS20&lt;CS18,CS20,CS18)</f>
        <v>0</v>
      </c>
      <c r="CT22" s="41"/>
      <c r="CU22" s="41">
        <f>IF(CU20&lt;CU18,CU20,CU18)</f>
        <v>0</v>
      </c>
      <c r="DA22" s="52">
        <f>IF(DA20&lt;DA18,DA20,DA18)</f>
        <v>-98.070000000000007</v>
      </c>
      <c r="DB22" s="52"/>
      <c r="DC22" s="41">
        <f>IF(DC20&lt;DC18,DC20,DC18)</f>
        <v>0</v>
      </c>
      <c r="DD22" s="41"/>
      <c r="DE22" s="41">
        <f>IF(DE20&lt;DE18,DE20,DE18)</f>
        <v>0</v>
      </c>
      <c r="DK22" s="52">
        <f>IF(DK20&lt;DK18,DK20,DK18)</f>
        <v>-107.42700000000001</v>
      </c>
      <c r="DL22" s="52"/>
      <c r="DM22" s="41">
        <f>IF(DM20&lt;DM18,DM20,DM18)</f>
        <v>0</v>
      </c>
      <c r="DN22" s="41"/>
      <c r="DO22" s="41">
        <f>IF(DO20&lt;DO18,DO20,DO18)</f>
        <v>0</v>
      </c>
      <c r="DU22" s="52">
        <f>IF(DU20&lt;DU18,DU20,DU18)</f>
        <v>-107.232</v>
      </c>
      <c r="DV22" s="52"/>
      <c r="DW22" s="41">
        <f>IF(DW20&lt;DW18,DW20,DW18)</f>
        <v>0</v>
      </c>
      <c r="DX22" s="41"/>
      <c r="DY22" s="41">
        <f>IF(DY20&lt;DY18,DY20,DY18)</f>
        <v>0</v>
      </c>
      <c r="EE22" s="52">
        <f>IF(EE20&lt;EE18,EE20,EE18)</f>
        <v>-72.902999999999992</v>
      </c>
      <c r="EF22" s="52"/>
      <c r="EG22" s="41">
        <f>IF(EG20&lt;EG18,EG20,EG18)</f>
        <v>0</v>
      </c>
      <c r="EH22" s="41"/>
      <c r="EI22" s="41">
        <f>IF(EI20&lt;EI18,EI20,EI18)</f>
        <v>0</v>
      </c>
    </row>
    <row r="23" spans="1:139" x14ac:dyDescent="0.3">
      <c r="A23" s="55" t="s">
        <v>76</v>
      </c>
      <c r="E23" s="41"/>
      <c r="F23" s="41"/>
      <c r="G23" s="41"/>
      <c r="H23" s="41"/>
      <c r="I23" s="41"/>
      <c r="O23" s="41"/>
      <c r="P23" s="41"/>
      <c r="Q23" s="41"/>
      <c r="R23" s="41"/>
      <c r="S23" s="41"/>
      <c r="X23" t="s">
        <v>17</v>
      </c>
      <c r="Y23" s="41"/>
      <c r="Z23" s="41"/>
      <c r="AA23" s="41"/>
      <c r="AB23" s="41"/>
      <c r="AC23" s="41"/>
      <c r="AH23" t="s">
        <v>17</v>
      </c>
      <c r="AI23" s="52"/>
      <c r="AJ23" s="52"/>
      <c r="AK23" s="41"/>
      <c r="AL23" s="41"/>
      <c r="AM23" s="41"/>
      <c r="AR23" t="s">
        <v>17</v>
      </c>
      <c r="AS23" s="52"/>
      <c r="AT23" s="52"/>
      <c r="AU23" s="41"/>
      <c r="AV23" s="41"/>
      <c r="AW23" s="41"/>
      <c r="BB23" t="s">
        <v>17</v>
      </c>
      <c r="BC23" s="52"/>
      <c r="BD23" s="52"/>
      <c r="BE23" s="41"/>
      <c r="BF23" s="41"/>
      <c r="BG23" s="41"/>
      <c r="BL23" t="s">
        <v>17</v>
      </c>
      <c r="BM23" s="52"/>
      <c r="BN23" s="52"/>
      <c r="BO23" s="41"/>
      <c r="BP23" s="41"/>
      <c r="BQ23" s="41"/>
      <c r="BV23" t="s">
        <v>17</v>
      </c>
      <c r="BW23" s="52"/>
      <c r="BX23" s="52"/>
      <c r="BY23" s="41"/>
      <c r="BZ23" s="41"/>
      <c r="CA23" s="41"/>
      <c r="CF23" t="s">
        <v>17</v>
      </c>
      <c r="CG23" s="52"/>
      <c r="CH23" s="52"/>
      <c r="CI23" s="41"/>
      <c r="CJ23" s="41"/>
      <c r="CK23" s="41"/>
      <c r="CP23" t="s">
        <v>17</v>
      </c>
      <c r="CQ23" s="52"/>
      <c r="CR23" s="52"/>
      <c r="CS23" s="41"/>
      <c r="CT23" s="41"/>
      <c r="CU23" s="41"/>
      <c r="CZ23" t="s">
        <v>17</v>
      </c>
      <c r="DA23" s="52"/>
      <c r="DB23" s="52"/>
      <c r="DC23" s="41"/>
      <c r="DD23" s="41"/>
      <c r="DE23" s="41"/>
      <c r="DJ23" t="s">
        <v>17</v>
      </c>
      <c r="DK23" s="52"/>
      <c r="DL23" s="52"/>
      <c r="DM23" s="41"/>
      <c r="DN23" s="41"/>
      <c r="DO23" s="41"/>
      <c r="DT23" t="s">
        <v>17</v>
      </c>
      <c r="DU23" s="52"/>
      <c r="DV23" s="52"/>
      <c r="DW23" s="41"/>
      <c r="DX23" s="41"/>
      <c r="DY23" s="41"/>
      <c r="ED23" t="s">
        <v>17</v>
      </c>
      <c r="EE23" s="52"/>
      <c r="EF23" s="52"/>
      <c r="EG23" s="41"/>
      <c r="EH23" s="41"/>
      <c r="EI23" s="41"/>
    </row>
    <row r="24" spans="1:139" x14ac:dyDescent="0.3">
      <c r="A24" s="55" t="s">
        <v>77</v>
      </c>
      <c r="E24" s="41"/>
      <c r="F24" s="41"/>
      <c r="G24" s="41"/>
      <c r="H24" s="41"/>
      <c r="I24" s="41"/>
      <c r="K24" s="2"/>
      <c r="O24" s="41"/>
      <c r="P24" s="41"/>
      <c r="Q24" s="41"/>
      <c r="R24" s="41"/>
      <c r="S24" s="41"/>
      <c r="Y24" s="41"/>
      <c r="Z24" s="41"/>
      <c r="AA24" s="41"/>
      <c r="AB24" s="41"/>
      <c r="AC24" s="41"/>
      <c r="AI24" s="52"/>
      <c r="AJ24" s="52"/>
      <c r="AK24" s="41"/>
      <c r="AL24" s="41"/>
      <c r="AM24" s="41"/>
      <c r="AS24" s="52"/>
      <c r="AT24" s="52"/>
      <c r="AU24" s="41"/>
      <c r="AV24" s="41"/>
      <c r="AW24" s="41"/>
      <c r="BC24" s="52"/>
      <c r="BD24" s="52"/>
      <c r="BE24" s="41"/>
      <c r="BF24" s="41"/>
      <c r="BG24" s="41"/>
      <c r="BM24" s="52"/>
      <c r="BN24" s="52"/>
      <c r="BO24" s="41"/>
      <c r="BP24" s="41"/>
      <c r="BQ24" s="41"/>
      <c r="BW24" s="52"/>
      <c r="BX24" s="52"/>
      <c r="BY24" s="41"/>
      <c r="BZ24" s="41"/>
      <c r="CA24" s="41"/>
      <c r="CG24" s="52"/>
      <c r="CH24" s="52"/>
      <c r="CI24" s="41"/>
      <c r="CJ24" s="41"/>
      <c r="CK24" s="41"/>
      <c r="CQ24" s="52"/>
      <c r="CR24" s="52"/>
      <c r="CS24" s="41"/>
      <c r="CT24" s="41"/>
      <c r="CU24" s="41"/>
      <c r="DA24" s="52"/>
      <c r="DB24" s="52"/>
      <c r="DC24" s="41"/>
      <c r="DD24" s="41"/>
      <c r="DE24" s="41"/>
      <c r="DK24" s="52"/>
      <c r="DL24" s="52"/>
      <c r="DM24" s="41"/>
      <c r="DN24" s="41"/>
      <c r="DO24" s="41"/>
      <c r="DU24" s="52"/>
      <c r="DV24" s="52"/>
      <c r="DW24" s="41"/>
      <c r="DX24" s="41"/>
      <c r="DY24" s="41"/>
      <c r="EE24" s="52"/>
      <c r="EF24" s="52"/>
      <c r="EG24" s="41"/>
      <c r="EH24" s="41"/>
      <c r="EI24" s="41"/>
    </row>
    <row r="25" spans="1:139" x14ac:dyDescent="0.3">
      <c r="D25" s="8">
        <f>A15</f>
        <v>2020</v>
      </c>
      <c r="E25" s="41"/>
      <c r="F25" s="41"/>
      <c r="G25" s="41"/>
      <c r="H25" s="41"/>
      <c r="I25" s="41"/>
      <c r="N25" s="8">
        <f>K15</f>
        <v>2019</v>
      </c>
      <c r="O25" s="41"/>
      <c r="P25" s="41"/>
      <c r="Q25" s="41"/>
      <c r="R25" s="41"/>
      <c r="S25" s="41"/>
      <c r="Y25" s="41"/>
      <c r="Z25" s="41"/>
      <c r="AA25" s="41"/>
      <c r="AB25" s="41"/>
      <c r="AC25" s="41"/>
      <c r="AI25" s="52"/>
      <c r="AJ25" s="52"/>
      <c r="AK25" s="41"/>
      <c r="AL25" s="41"/>
      <c r="AM25" s="41"/>
      <c r="AS25" s="52"/>
      <c r="AT25" s="52"/>
      <c r="AU25" s="41"/>
      <c r="AV25" s="41"/>
      <c r="AW25" s="41"/>
      <c r="BC25" s="52"/>
      <c r="BD25" s="52"/>
      <c r="BE25" s="41"/>
      <c r="BF25" s="41"/>
      <c r="BG25" s="41"/>
      <c r="BM25" s="52"/>
      <c r="BN25" s="52"/>
      <c r="BO25" s="41"/>
      <c r="BP25" s="41"/>
      <c r="BQ25" s="41"/>
      <c r="BW25" s="52"/>
      <c r="BX25" s="52"/>
      <c r="BY25" s="41"/>
      <c r="BZ25" s="41"/>
      <c r="CA25" s="41"/>
      <c r="CG25" s="52"/>
      <c r="CH25" s="52"/>
      <c r="CI25" s="41"/>
      <c r="CJ25" s="41"/>
      <c r="CK25" s="41"/>
      <c r="CQ25" s="52"/>
      <c r="CR25" s="52"/>
      <c r="CS25" s="41"/>
      <c r="CT25" s="41"/>
      <c r="CU25" s="41"/>
      <c r="DA25" s="52"/>
      <c r="DB25" s="52"/>
      <c r="DC25" s="41"/>
      <c r="DD25" s="41"/>
      <c r="DE25" s="41"/>
      <c r="DK25" s="52"/>
      <c r="DL25" s="52"/>
      <c r="DM25" s="41"/>
      <c r="DN25" s="41"/>
      <c r="DO25" s="41"/>
      <c r="DU25" s="52"/>
      <c r="DV25" s="52"/>
      <c r="DW25" s="41"/>
      <c r="DX25" s="41"/>
      <c r="DY25" s="41"/>
      <c r="EE25" s="52"/>
      <c r="EF25" s="52"/>
      <c r="EG25" s="41"/>
      <c r="EH25" s="41"/>
      <c r="EI25" s="41"/>
    </row>
    <row r="26" spans="1:139" x14ac:dyDescent="0.3">
      <c r="A26" s="55" t="s">
        <v>68</v>
      </c>
      <c r="D26" t="s">
        <v>12</v>
      </c>
      <c r="E26" s="41">
        <f>E$3*0.01</f>
        <v>0</v>
      </c>
      <c r="F26" s="41"/>
      <c r="G26" s="41">
        <f>G$3*0.02</f>
        <v>0</v>
      </c>
      <c r="H26" s="41"/>
      <c r="I26" s="41">
        <f>I$3*0.03</f>
        <v>0</v>
      </c>
      <c r="N26" t="s">
        <v>12</v>
      </c>
      <c r="O26" s="41">
        <f>O3*0.01</f>
        <v>0</v>
      </c>
      <c r="P26" s="41"/>
      <c r="Q26" s="41">
        <f>Q$3*0.02</f>
        <v>0</v>
      </c>
      <c r="R26" s="41"/>
      <c r="S26" s="41">
        <f>S$3*0.03</f>
        <v>0</v>
      </c>
      <c r="X26" s="8">
        <f>U15</f>
        <v>2019</v>
      </c>
      <c r="Y26" s="41">
        <f>Y3*0.01</f>
        <v>0</v>
      </c>
      <c r="Z26" s="41"/>
      <c r="AA26" s="41">
        <f>AA$3*0.02</f>
        <v>0</v>
      </c>
      <c r="AB26" s="41"/>
      <c r="AC26" s="41">
        <f>AC$3*0.03</f>
        <v>0</v>
      </c>
      <c r="AH26">
        <v>2023</v>
      </c>
      <c r="AI26" s="52">
        <f>AI3*0.01</f>
        <v>0</v>
      </c>
      <c r="AJ26" s="52"/>
      <c r="AK26" s="41">
        <f>AK$3*0.02</f>
        <v>0</v>
      </c>
      <c r="AL26" s="41"/>
      <c r="AM26" s="41">
        <f>AM$3*0.03</f>
        <v>0</v>
      </c>
      <c r="AR26">
        <v>2023</v>
      </c>
      <c r="AS26" s="52">
        <f>AS3*0.01</f>
        <v>0</v>
      </c>
      <c r="AT26" s="52"/>
      <c r="AU26" s="41">
        <f>AU$3*0.02</f>
        <v>0</v>
      </c>
      <c r="AV26" s="41"/>
      <c r="AW26" s="41">
        <f>AW$3*0.03</f>
        <v>0</v>
      </c>
      <c r="BB26">
        <v>2023</v>
      </c>
      <c r="BC26" s="52">
        <f>BC3*0.01</f>
        <v>0</v>
      </c>
      <c r="BD26" s="52"/>
      <c r="BE26" s="41">
        <f>BE$3*0.02</f>
        <v>0</v>
      </c>
      <c r="BF26" s="41"/>
      <c r="BG26" s="41">
        <f>BG$3*0.03</f>
        <v>0</v>
      </c>
      <c r="BL26">
        <v>2023</v>
      </c>
      <c r="BM26" s="52">
        <f>BM3*0.01</f>
        <v>0</v>
      </c>
      <c r="BN26" s="52"/>
      <c r="BO26" s="41">
        <f>BO$3*0.02</f>
        <v>0</v>
      </c>
      <c r="BP26" s="41"/>
      <c r="BQ26" s="41">
        <f>BQ$3*0.03</f>
        <v>0</v>
      </c>
      <c r="BV26">
        <v>2023</v>
      </c>
      <c r="BW26" s="52">
        <f>BW3*0.01</f>
        <v>0</v>
      </c>
      <c r="BX26" s="52"/>
      <c r="BY26" s="41">
        <f>BY$3*0.02</f>
        <v>0</v>
      </c>
      <c r="BZ26" s="41"/>
      <c r="CA26" s="41">
        <f>CA$3*0.03</f>
        <v>0</v>
      </c>
      <c r="CF26">
        <v>2023</v>
      </c>
      <c r="CG26" s="52">
        <f>CG3*0.01</f>
        <v>0</v>
      </c>
      <c r="CH26" s="52"/>
      <c r="CI26" s="41">
        <f>CI$3*0.02</f>
        <v>0</v>
      </c>
      <c r="CJ26" s="41"/>
      <c r="CK26" s="41">
        <f>CK$3*0.03</f>
        <v>0</v>
      </c>
      <c r="CP26">
        <v>2023</v>
      </c>
      <c r="CQ26" s="52">
        <f>CQ3*0.01</f>
        <v>0</v>
      </c>
      <c r="CR26" s="52"/>
      <c r="CS26" s="41">
        <f>CS$3*0.02</f>
        <v>0</v>
      </c>
      <c r="CT26" s="41"/>
      <c r="CU26" s="41">
        <f>CU$3*0.03</f>
        <v>0</v>
      </c>
      <c r="CZ26">
        <v>2023</v>
      </c>
      <c r="DA26" s="41">
        <f>DA$3*0.01</f>
        <v>0</v>
      </c>
      <c r="DB26" s="41"/>
      <c r="DC26" s="41">
        <f>DC$3*0.02</f>
        <v>0</v>
      </c>
      <c r="DD26" s="41"/>
      <c r="DE26" s="41">
        <f>DE$3*0.03</f>
        <v>0</v>
      </c>
      <c r="DJ26">
        <v>2023</v>
      </c>
      <c r="DK26" s="52">
        <f>DK3*0.01</f>
        <v>0</v>
      </c>
      <c r="DL26" s="52"/>
      <c r="DM26" s="41">
        <f>DM$3*0.02</f>
        <v>0</v>
      </c>
      <c r="DN26" s="41"/>
      <c r="DO26" s="41">
        <f>DO$3*0.03</f>
        <v>0</v>
      </c>
      <c r="DT26">
        <v>2023</v>
      </c>
      <c r="DU26" s="52">
        <f>DU3*0.01</f>
        <v>0</v>
      </c>
      <c r="DV26" s="52"/>
      <c r="DW26" s="41">
        <f>DW$3*0.02</f>
        <v>0</v>
      </c>
      <c r="DX26" s="41"/>
      <c r="DY26" s="41">
        <f>DY$3*0.03</f>
        <v>0</v>
      </c>
      <c r="ED26">
        <v>2023</v>
      </c>
      <c r="EE26" s="52">
        <f>EE3*0.01</f>
        <v>0</v>
      </c>
      <c r="EF26" s="52"/>
      <c r="EG26" s="41">
        <f>EG$3*0.02</f>
        <v>0</v>
      </c>
      <c r="EH26" s="41"/>
      <c r="EI26" s="41">
        <f>EI$3*0.03</f>
        <v>0</v>
      </c>
    </row>
    <row r="27" spans="1:139" x14ac:dyDescent="0.3">
      <c r="A27" s="55" t="s">
        <v>44</v>
      </c>
      <c r="D27" t="s">
        <v>15</v>
      </c>
      <c r="E27" s="41">
        <f>B17*(E13/100)</f>
        <v>-1.494</v>
      </c>
      <c r="F27" s="41"/>
      <c r="G27" s="93">
        <f>B17*(G13/100)</f>
        <v>0</v>
      </c>
      <c r="H27" s="41"/>
      <c r="I27" s="41">
        <f>B17*(I13/100)</f>
        <v>0</v>
      </c>
      <c r="N27" t="s">
        <v>15</v>
      </c>
      <c r="O27" s="41">
        <f>L17*(O13/100)</f>
        <v>-1.494</v>
      </c>
      <c r="P27" s="41"/>
      <c r="Q27" s="93">
        <f>L17*(Q13/100)</f>
        <v>0</v>
      </c>
      <c r="R27" s="41"/>
      <c r="S27" s="41">
        <f>L17*(S13/100)</f>
        <v>0</v>
      </c>
      <c r="X27" t="s">
        <v>12</v>
      </c>
      <c r="Y27" s="41">
        <f>V17*(Y13/100)</f>
        <v>-1.494</v>
      </c>
      <c r="Z27" s="41"/>
      <c r="AA27" s="93">
        <f>V17*(AA13/100)</f>
        <v>0</v>
      </c>
      <c r="AB27" s="41"/>
      <c r="AC27" s="41">
        <f>V17*(AC13/100)</f>
        <v>0</v>
      </c>
      <c r="AH27" t="s">
        <v>12</v>
      </c>
      <c r="AI27" s="52">
        <f>AF17*(AI13/100)</f>
        <v>-1.8149999999999999</v>
      </c>
      <c r="AJ27" s="52"/>
      <c r="AK27" s="93">
        <f>AF17*(AK13/100)</f>
        <v>0</v>
      </c>
      <c r="AL27" s="41"/>
      <c r="AM27" s="41">
        <f>AF17*(AM13/100)</f>
        <v>0</v>
      </c>
      <c r="AR27" t="s">
        <v>12</v>
      </c>
      <c r="AS27" s="52">
        <f>AP17*(AS13/100)</f>
        <v>-1.494</v>
      </c>
      <c r="AT27" s="52"/>
      <c r="AU27" s="93">
        <f>AP17*(AU13/100)</f>
        <v>0</v>
      </c>
      <c r="AV27" s="41"/>
      <c r="AW27" s="41">
        <f>AP17*(AW13/100)</f>
        <v>0</v>
      </c>
      <c r="BB27" t="s">
        <v>12</v>
      </c>
      <c r="BC27" s="52">
        <f>AZ17*(BC13/100)</f>
        <v>-1.494</v>
      </c>
      <c r="BD27" s="52"/>
      <c r="BE27" s="93">
        <f>AZ17*(BE13/100)</f>
        <v>0</v>
      </c>
      <c r="BF27" s="41"/>
      <c r="BG27" s="41">
        <f>AZ17*(BG13/100)</f>
        <v>0</v>
      </c>
      <c r="BL27" t="s">
        <v>12</v>
      </c>
      <c r="BM27" s="52">
        <f>BJ17*(BM13/100)</f>
        <v>-1.494</v>
      </c>
      <c r="BN27" s="52"/>
      <c r="BO27" s="93">
        <f>BJ17*(BO13/100)</f>
        <v>0</v>
      </c>
      <c r="BP27" s="41"/>
      <c r="BQ27" s="41">
        <f>BJ17*(BQ13/100)</f>
        <v>0</v>
      </c>
      <c r="BV27" t="s">
        <v>12</v>
      </c>
      <c r="BW27" s="52">
        <f>BT17*(BW13/100)</f>
        <v>-1.494</v>
      </c>
      <c r="BX27" s="52"/>
      <c r="BY27" s="93">
        <f>BT17*(BY13/100)</f>
        <v>0</v>
      </c>
      <c r="BZ27" s="41"/>
      <c r="CA27" s="41">
        <f>BT17*(CA13/100)</f>
        <v>0</v>
      </c>
      <c r="CF27" t="s">
        <v>12</v>
      </c>
      <c r="CG27" s="52">
        <f>CD17*(CG13/100)</f>
        <v>-1.494</v>
      </c>
      <c r="CH27" s="52"/>
      <c r="CI27" s="93">
        <f>CD17*(CI13/100)</f>
        <v>0</v>
      </c>
      <c r="CJ27" s="41"/>
      <c r="CK27" s="41">
        <f>CD17*(CK13/100)</f>
        <v>0</v>
      </c>
      <c r="CP27" t="s">
        <v>12</v>
      </c>
      <c r="CQ27" s="52">
        <f>CN17*(CQ13/100)</f>
        <v>-1.494</v>
      </c>
      <c r="CR27" s="52"/>
      <c r="CS27" s="93">
        <f>CN17*(CS13/100)</f>
        <v>0</v>
      </c>
      <c r="CT27" s="41"/>
      <c r="CU27" s="41">
        <f>CN17*(CU13/100)</f>
        <v>0</v>
      </c>
      <c r="CZ27" t="s">
        <v>12</v>
      </c>
      <c r="DA27" s="41">
        <f>CX17*(DA13/100)</f>
        <v>-1.494</v>
      </c>
      <c r="DB27" s="41"/>
      <c r="DC27" s="93">
        <f>CX17*(DC13/100)</f>
        <v>0</v>
      </c>
      <c r="DD27" s="41"/>
      <c r="DE27" s="41">
        <f>CX17*(DE13/100)</f>
        <v>0</v>
      </c>
      <c r="DJ27" t="s">
        <v>12</v>
      </c>
      <c r="DK27" s="52">
        <f>DH17*(DK13/100)</f>
        <v>-1.494</v>
      </c>
      <c r="DL27" s="52"/>
      <c r="DM27" s="93">
        <f>DH17*(DM13/100)</f>
        <v>0</v>
      </c>
      <c r="DN27" s="41"/>
      <c r="DO27" s="41">
        <f>DH17*(DO13/100)</f>
        <v>0</v>
      </c>
      <c r="DT27" t="s">
        <v>12</v>
      </c>
      <c r="DU27" s="52">
        <f>DR17*(DU13/100)</f>
        <v>-1.494</v>
      </c>
      <c r="DV27" s="52"/>
      <c r="DW27" s="93">
        <f>DR17*(DW13/100)</f>
        <v>0</v>
      </c>
      <c r="DX27" s="41"/>
      <c r="DY27" s="41">
        <f>DR17*(DY13/100)</f>
        <v>0</v>
      </c>
      <c r="ED27" t="s">
        <v>12</v>
      </c>
      <c r="EE27" s="52">
        <f>EB17*(EE13/100)</f>
        <v>-1.494</v>
      </c>
      <c r="EF27" s="52"/>
      <c r="EG27" s="93">
        <f>EB17*(EG13/100)</f>
        <v>0</v>
      </c>
      <c r="EH27" s="41"/>
      <c r="EI27" s="41">
        <f>EB17*(EI13/100)</f>
        <v>0</v>
      </c>
    </row>
    <row r="28" spans="1:139" x14ac:dyDescent="0.3">
      <c r="A28" s="55" t="s">
        <v>62</v>
      </c>
      <c r="D28" t="s">
        <v>71</v>
      </c>
      <c r="E28" s="41">
        <f>E26+E27</f>
        <v>-1.494</v>
      </c>
      <c r="F28" s="41"/>
      <c r="G28" s="41">
        <f>G26+G27</f>
        <v>0</v>
      </c>
      <c r="H28" s="41"/>
      <c r="I28" s="41">
        <f>I26+I27</f>
        <v>0</v>
      </c>
      <c r="N28" t="s">
        <v>16</v>
      </c>
      <c r="O28" s="41">
        <f>O26+O27</f>
        <v>-1.494</v>
      </c>
      <c r="P28" s="41"/>
      <c r="Q28" s="41">
        <f>Q26+Q27</f>
        <v>0</v>
      </c>
      <c r="R28" s="41"/>
      <c r="S28" s="41">
        <f>S26+S27</f>
        <v>0</v>
      </c>
      <c r="X28" t="s">
        <v>15</v>
      </c>
      <c r="Y28" s="41">
        <f>Y26+Y27</f>
        <v>-1.494</v>
      </c>
      <c r="Z28" s="41"/>
      <c r="AA28" s="41">
        <f>AA26+AA27</f>
        <v>0</v>
      </c>
      <c r="AB28" s="41"/>
      <c r="AC28" s="41">
        <f>AC26+AC27</f>
        <v>0</v>
      </c>
      <c r="AH28" t="s">
        <v>15</v>
      </c>
      <c r="AI28" s="52">
        <f>AI26+AI27</f>
        <v>-1.8149999999999999</v>
      </c>
      <c r="AJ28" s="52"/>
      <c r="AK28" s="41">
        <f>AK26+AK27</f>
        <v>0</v>
      </c>
      <c r="AL28" s="41"/>
      <c r="AM28" s="41">
        <f>AM26+AM27</f>
        <v>0</v>
      </c>
      <c r="AR28" t="s">
        <v>15</v>
      </c>
      <c r="AS28" s="52">
        <f>AS26+AS27</f>
        <v>-1.494</v>
      </c>
      <c r="AT28" s="52"/>
      <c r="AU28" s="41">
        <f>AU26+AU27</f>
        <v>0</v>
      </c>
      <c r="AV28" s="41"/>
      <c r="AW28" s="41">
        <f>AW26+AW27</f>
        <v>0</v>
      </c>
      <c r="BB28" t="s">
        <v>15</v>
      </c>
      <c r="BC28" s="52">
        <f>BC26+BC27</f>
        <v>-1.494</v>
      </c>
      <c r="BD28" s="52"/>
      <c r="BE28" s="41">
        <f>BE26+BE27</f>
        <v>0</v>
      </c>
      <c r="BF28" s="41"/>
      <c r="BG28" s="41">
        <f>BG26+BG27</f>
        <v>0</v>
      </c>
      <c r="BL28" t="s">
        <v>15</v>
      </c>
      <c r="BM28" s="52">
        <f>BM26+BM27</f>
        <v>-1.494</v>
      </c>
      <c r="BN28" s="52"/>
      <c r="BO28" s="41">
        <f>BO26+BO27</f>
        <v>0</v>
      </c>
      <c r="BP28" s="41"/>
      <c r="BQ28" s="41">
        <f>BQ26+BQ27</f>
        <v>0</v>
      </c>
      <c r="BV28" t="s">
        <v>15</v>
      </c>
      <c r="BW28" s="52">
        <f>BW26+BW27</f>
        <v>-1.494</v>
      </c>
      <c r="BX28" s="52"/>
      <c r="BY28" s="41">
        <f>BY26+BY27</f>
        <v>0</v>
      </c>
      <c r="BZ28" s="41"/>
      <c r="CA28" s="41">
        <f>CA26+CA27</f>
        <v>0</v>
      </c>
      <c r="CF28" t="s">
        <v>15</v>
      </c>
      <c r="CG28" s="52">
        <f>CG26+CG27</f>
        <v>-1.494</v>
      </c>
      <c r="CH28" s="52"/>
      <c r="CI28" s="41">
        <f>CI26+CI27</f>
        <v>0</v>
      </c>
      <c r="CJ28" s="41"/>
      <c r="CK28" s="41">
        <f>CK26+CK27</f>
        <v>0</v>
      </c>
      <c r="CP28" t="s">
        <v>15</v>
      </c>
      <c r="CQ28" s="52">
        <f>CQ26+CQ27</f>
        <v>-1.494</v>
      </c>
      <c r="CR28" s="52"/>
      <c r="CS28" s="41">
        <f>CS26+CS27</f>
        <v>0</v>
      </c>
      <c r="CT28" s="41"/>
      <c r="CU28" s="41">
        <f>CU26+CU27</f>
        <v>0</v>
      </c>
      <c r="CZ28" t="s">
        <v>15</v>
      </c>
      <c r="DA28" s="41">
        <f>DA26+DA27</f>
        <v>-1.494</v>
      </c>
      <c r="DB28" s="41"/>
      <c r="DC28" s="41">
        <f>DC26+DC27</f>
        <v>0</v>
      </c>
      <c r="DD28" s="41"/>
      <c r="DE28" s="41">
        <f>DE26+DE27</f>
        <v>0</v>
      </c>
      <c r="DJ28" t="s">
        <v>15</v>
      </c>
      <c r="DK28" s="52">
        <f>DK26+DK27</f>
        <v>-1.494</v>
      </c>
      <c r="DL28" s="52"/>
      <c r="DM28" s="41">
        <f>DM26+DM27</f>
        <v>0</v>
      </c>
      <c r="DN28" s="41"/>
      <c r="DO28" s="41">
        <f>DO26+DO27</f>
        <v>0</v>
      </c>
      <c r="DT28" t="s">
        <v>15</v>
      </c>
      <c r="DU28" s="52">
        <f>DU26+DU27</f>
        <v>-1.494</v>
      </c>
      <c r="DV28" s="52"/>
      <c r="DW28" s="41">
        <f>DW26+DW27</f>
        <v>0</v>
      </c>
      <c r="DX28" s="41"/>
      <c r="DY28" s="41">
        <f>DY26+DY27</f>
        <v>0</v>
      </c>
      <c r="ED28" t="s">
        <v>15</v>
      </c>
      <c r="EE28" s="52">
        <f>EE26+EE27</f>
        <v>-1.494</v>
      </c>
      <c r="EF28" s="52"/>
      <c r="EG28" s="41">
        <f>EG26+EG27</f>
        <v>0</v>
      </c>
      <c r="EH28" s="41"/>
      <c r="EI28" s="41">
        <f>EI26+EI27</f>
        <v>0</v>
      </c>
    </row>
    <row r="29" spans="1:139" x14ac:dyDescent="0.3">
      <c r="D29" t="s">
        <v>72</v>
      </c>
      <c r="E29" s="87" t="str">
        <f>IF($E$3&lt;160000,IF($B$7=1,E$22*1.02,"False"))</f>
        <v>False</v>
      </c>
      <c r="F29" s="41"/>
      <c r="G29" s="41"/>
      <c r="H29" s="41"/>
      <c r="I29" s="87"/>
      <c r="K29" s="10"/>
      <c r="O29" s="87" t="str">
        <f>IF($E$3&lt;160000,IF($B$7=1,O$22*1.02,"False"))</f>
        <v>False</v>
      </c>
      <c r="P29" s="41"/>
      <c r="Q29" s="41"/>
      <c r="R29" s="41"/>
      <c r="S29" s="87"/>
      <c r="X29" t="s">
        <v>16</v>
      </c>
      <c r="Y29" s="87" t="str">
        <f>IF($E$3&lt;160000,IF($B$7=1,Y$22*1.02,"False"))</f>
        <v>False</v>
      </c>
      <c r="Z29" s="41"/>
      <c r="AA29" s="41"/>
      <c r="AB29" s="41"/>
      <c r="AC29" s="87"/>
      <c r="AH29" t="s">
        <v>16</v>
      </c>
      <c r="AI29" s="87" t="str">
        <f>IF($E$3&lt;160000,IF($B$7=1,AI$22*1.02,"False"))</f>
        <v>False</v>
      </c>
      <c r="AJ29" s="87"/>
      <c r="AK29" s="41"/>
      <c r="AL29" s="41"/>
      <c r="AM29" s="87"/>
      <c r="AR29" t="s">
        <v>16</v>
      </c>
      <c r="AS29" s="87" t="str">
        <f>IF($E$3&lt;160000,IF($B$7=1,AS$22*1.02,"False"))</f>
        <v>False</v>
      </c>
      <c r="AT29" s="87"/>
      <c r="AU29" s="41"/>
      <c r="AV29" s="41"/>
      <c r="AW29" s="87"/>
      <c r="BB29" t="s">
        <v>16</v>
      </c>
      <c r="BC29" s="87" t="str">
        <f>IF($E$3&lt;160000,IF($B$7=1,BC$22*1.02,"False"))</f>
        <v>False</v>
      </c>
      <c r="BD29" s="87"/>
      <c r="BE29" s="41"/>
      <c r="BF29" s="41"/>
      <c r="BG29" s="87"/>
      <c r="BL29" t="s">
        <v>16</v>
      </c>
      <c r="BM29" s="87" t="str">
        <f>IF($E$3&lt;160000,IF($B$7=1,BM$22*1.02,"False"))</f>
        <v>False</v>
      </c>
      <c r="BN29" s="87"/>
      <c r="BO29" s="41"/>
      <c r="BP29" s="41"/>
      <c r="BQ29" s="87"/>
      <c r="BV29" t="s">
        <v>16</v>
      </c>
      <c r="BW29" s="87" t="str">
        <f>IF($E$3&lt;160000,IF($B$7=1,BW$22*1.02,"False"))</f>
        <v>False</v>
      </c>
      <c r="BX29" s="87"/>
      <c r="BY29" s="41"/>
      <c r="BZ29" s="41"/>
      <c r="CA29" s="87"/>
      <c r="CF29" t="s">
        <v>16</v>
      </c>
      <c r="CG29" s="87" t="str">
        <f>IF($E$3&lt;160000,IF($B$7=1,CG$22*1.02,"False"))</f>
        <v>False</v>
      </c>
      <c r="CH29" s="87"/>
      <c r="CI29" s="41"/>
      <c r="CJ29" s="41"/>
      <c r="CK29" s="87"/>
      <c r="CP29" t="s">
        <v>16</v>
      </c>
      <c r="CQ29" s="87" t="str">
        <f>IF($E$3&lt;160000,IF($B$7=1,CQ$22*1.02,"False"))</f>
        <v>False</v>
      </c>
      <c r="CR29" s="87"/>
      <c r="CS29" s="41"/>
      <c r="CT29" s="41"/>
      <c r="CU29" s="87"/>
      <c r="CZ29" t="s">
        <v>16</v>
      </c>
      <c r="DA29" s="87" t="str">
        <f>IF($E$3&lt;160000,IF($B$7=1,DA$22*1.02,"False"))</f>
        <v>False</v>
      </c>
      <c r="DB29" s="87"/>
      <c r="DC29" s="41"/>
      <c r="DD29" s="41"/>
      <c r="DE29" s="87"/>
      <c r="DJ29" t="s">
        <v>16</v>
      </c>
      <c r="DK29" s="87" t="str">
        <f>IF($E$3&lt;160000,IF($B$7=1,DK$22*1.02,"False"))</f>
        <v>False</v>
      </c>
      <c r="DL29" s="87"/>
      <c r="DM29" s="41"/>
      <c r="DN29" s="41"/>
      <c r="DO29" s="87"/>
      <c r="DT29" t="s">
        <v>16</v>
      </c>
      <c r="DU29" s="87" t="str">
        <f>IF($E$3&lt;160000,IF($B$7=1,DU$22*1.02,"False"))</f>
        <v>False</v>
      </c>
      <c r="DV29" s="87"/>
      <c r="DW29" s="41"/>
      <c r="DX29" s="41"/>
      <c r="DY29" s="87"/>
      <c r="ED29" t="s">
        <v>16</v>
      </c>
      <c r="EE29" s="87" t="str">
        <f>IF($E$3&lt;160000,IF($B$7=1,EE$22*1.02,"False"))</f>
        <v>False</v>
      </c>
      <c r="EF29" s="87"/>
      <c r="EG29" s="41"/>
      <c r="EH29" s="41"/>
      <c r="EI29" s="87"/>
    </row>
    <row r="30" spans="1:139" x14ac:dyDescent="0.3">
      <c r="A30" s="55" t="s">
        <v>69</v>
      </c>
      <c r="D30" t="s">
        <v>13</v>
      </c>
      <c r="E30" s="41">
        <f>B16*(E13/100)</f>
        <v>-46.326000000000001</v>
      </c>
      <c r="F30" s="41"/>
      <c r="G30" s="93">
        <f>B16*(G13/100)</f>
        <v>0</v>
      </c>
      <c r="H30" s="41"/>
      <c r="I30" s="41">
        <f>B16*(I13/100)</f>
        <v>0</v>
      </c>
      <c r="N30" t="s">
        <v>13</v>
      </c>
      <c r="O30" s="41">
        <f>L16*(O13/100)</f>
        <v>-53.631</v>
      </c>
      <c r="P30" s="41"/>
      <c r="Q30" s="93">
        <f>L16*(Q13/100)</f>
        <v>0</v>
      </c>
      <c r="R30" s="41"/>
      <c r="S30" s="41">
        <f>L16*(S13/100)</f>
        <v>0</v>
      </c>
      <c r="Y30" s="41">
        <f>V16*(Y13/100)</f>
        <v>-44.643000000000008</v>
      </c>
      <c r="Z30" s="41"/>
      <c r="AA30" s="93">
        <f>V16*(AA13/100)</f>
        <v>0</v>
      </c>
      <c r="AB30" s="41"/>
      <c r="AC30" s="41">
        <f>V16*(AC13/100)</f>
        <v>0</v>
      </c>
      <c r="AI30" s="41">
        <f>AF16*(AI13/100)</f>
        <v>-45.458999999999996</v>
      </c>
      <c r="AJ30" s="41"/>
      <c r="AK30" s="93">
        <f>AF16*(AK13/100)</f>
        <v>0</v>
      </c>
      <c r="AL30" s="41"/>
      <c r="AM30" s="41">
        <f>AF16*(AM13/100)</f>
        <v>0</v>
      </c>
      <c r="AS30" s="41">
        <f>AP16*(AS13/100)</f>
        <v>-45.291000000000004</v>
      </c>
      <c r="AT30" s="41"/>
      <c r="AU30" s="93">
        <f>AP16*(AU13/100)</f>
        <v>0</v>
      </c>
      <c r="AV30" s="41"/>
      <c r="AW30" s="41">
        <f>AP16*(AW13/100)</f>
        <v>0</v>
      </c>
      <c r="BC30" s="41">
        <f>AZ16*(BC13/100)</f>
        <v>-60.285000000000004</v>
      </c>
      <c r="BD30" s="41"/>
      <c r="BE30" s="93">
        <f>AZ16*(BE13/100)</f>
        <v>0</v>
      </c>
      <c r="BF30" s="41"/>
      <c r="BG30" s="41">
        <f>AZ16*(BG13/100)</f>
        <v>0</v>
      </c>
      <c r="BM30" s="41">
        <f>BJ16*(BM13/100)</f>
        <v>-78.212999999999994</v>
      </c>
      <c r="BN30" s="41"/>
      <c r="BO30" s="93">
        <f>BJ16*(BO13/100)</f>
        <v>0</v>
      </c>
      <c r="BP30" s="41"/>
      <c r="BQ30" s="41">
        <f>BJ16*(BQ13/100)</f>
        <v>0</v>
      </c>
      <c r="BW30" s="41">
        <f>BT16*(BW13/100)</f>
        <v>-80.532000000000011</v>
      </c>
      <c r="BX30" s="41"/>
      <c r="BY30" s="93">
        <f>BT16*(BY13/100)</f>
        <v>0</v>
      </c>
      <c r="BZ30" s="41"/>
      <c r="CA30" s="41">
        <f>BT16*(CA13/100)</f>
        <v>0</v>
      </c>
      <c r="CG30" s="41">
        <f>CD16*(CG13/100)</f>
        <v>-79.811999999999998</v>
      </c>
      <c r="CH30" s="41"/>
      <c r="CI30" s="93">
        <f>CD16*(CI13/100)</f>
        <v>0</v>
      </c>
      <c r="CJ30" s="41"/>
      <c r="CK30" s="41">
        <f>CD16*(CK13/100)</f>
        <v>0</v>
      </c>
      <c r="CQ30" s="41">
        <f>CN16*(CQ13/100)</f>
        <v>-79.760999999999996</v>
      </c>
      <c r="CR30" s="41"/>
      <c r="CS30" s="93">
        <f>CN16*(CS13/100)</f>
        <v>0</v>
      </c>
      <c r="CT30" s="41"/>
      <c r="CU30" s="41">
        <f>CN16*(CU13/100)</f>
        <v>0</v>
      </c>
      <c r="DA30" s="41">
        <f>CX16*(DA13/100)</f>
        <v>-97.611000000000004</v>
      </c>
      <c r="DB30" s="41"/>
      <c r="DC30" s="93">
        <f>CX16*(DC13/100)</f>
        <v>0</v>
      </c>
      <c r="DD30" s="41"/>
      <c r="DE30" s="41">
        <f>CX16*(DE13/100)</f>
        <v>0</v>
      </c>
      <c r="DK30" s="41">
        <f>DH16*(DK13/100)</f>
        <v>-106.968</v>
      </c>
      <c r="DL30" s="41"/>
      <c r="DM30" s="93">
        <f>DH16*(DM13/100)</f>
        <v>0</v>
      </c>
      <c r="DN30" s="41"/>
      <c r="DO30" s="41">
        <f>DH16*(DO13/100)</f>
        <v>0</v>
      </c>
      <c r="DU30" s="41">
        <f>DR16*(DU13/100)</f>
        <v>-106.773</v>
      </c>
      <c r="DV30" s="41"/>
      <c r="DW30" s="93">
        <f>DR16*(DW13/100)</f>
        <v>0</v>
      </c>
      <c r="DX30" s="41"/>
      <c r="DY30" s="41">
        <f>DR16*(DY13/100)</f>
        <v>0</v>
      </c>
      <c r="EE30" s="41">
        <f>EB16*(EE13/100)</f>
        <v>-72.444000000000003</v>
      </c>
      <c r="EF30" s="41"/>
      <c r="EG30" s="93">
        <f>EB16*(EG13/100)</f>
        <v>0</v>
      </c>
      <c r="EH30" s="41"/>
      <c r="EI30" s="41">
        <f>EB16*(EI13/100)</f>
        <v>0</v>
      </c>
    </row>
    <row r="31" spans="1:139" x14ac:dyDescent="0.3">
      <c r="A31" s="55" t="s">
        <v>44</v>
      </c>
      <c r="E31" s="41"/>
      <c r="F31" s="41"/>
      <c r="G31" s="41"/>
      <c r="H31" s="41"/>
      <c r="I31" s="41"/>
      <c r="O31" s="41"/>
      <c r="P31" s="41"/>
      <c r="Q31" s="41"/>
      <c r="R31" s="41"/>
      <c r="S31" s="41"/>
      <c r="X31" t="s">
        <v>13</v>
      </c>
      <c r="Y31" s="41"/>
      <c r="Z31" s="41"/>
      <c r="AA31" s="41"/>
      <c r="AB31" s="41"/>
      <c r="AC31" s="41"/>
      <c r="AH31" t="s">
        <v>13</v>
      </c>
      <c r="AI31" s="41"/>
      <c r="AJ31" s="41"/>
      <c r="AK31" s="41"/>
      <c r="AL31" s="41"/>
      <c r="AM31" s="41"/>
      <c r="AR31" t="s">
        <v>13</v>
      </c>
      <c r="AS31" s="41"/>
      <c r="AT31" s="41"/>
      <c r="AU31" s="41"/>
      <c r="AV31" s="41"/>
      <c r="AW31" s="41"/>
      <c r="BB31" t="s">
        <v>13</v>
      </c>
      <c r="BC31" s="41"/>
      <c r="BD31" s="41"/>
      <c r="BE31" s="41"/>
      <c r="BF31" s="41"/>
      <c r="BG31" s="41"/>
      <c r="BL31" t="s">
        <v>13</v>
      </c>
      <c r="BM31" s="41"/>
      <c r="BN31" s="41"/>
      <c r="BO31" s="41"/>
      <c r="BP31" s="41"/>
      <c r="BQ31" s="41"/>
      <c r="BV31" t="s">
        <v>13</v>
      </c>
      <c r="BW31" s="41"/>
      <c r="BX31" s="41"/>
      <c r="BY31" s="41"/>
      <c r="BZ31" s="41"/>
      <c r="CA31" s="41"/>
      <c r="CF31" t="s">
        <v>13</v>
      </c>
      <c r="CG31" s="41"/>
      <c r="CH31" s="41"/>
      <c r="CI31" s="41"/>
      <c r="CJ31" s="41"/>
      <c r="CK31" s="41"/>
      <c r="CP31" t="s">
        <v>13</v>
      </c>
      <c r="CQ31" s="41"/>
      <c r="CR31" s="41"/>
      <c r="CS31" s="41"/>
      <c r="CT31" s="41"/>
      <c r="CU31" s="41"/>
      <c r="CZ31" t="s">
        <v>13</v>
      </c>
      <c r="DA31" s="41"/>
      <c r="DB31" s="41"/>
      <c r="DC31" s="41"/>
      <c r="DD31" s="41"/>
      <c r="DE31" s="41"/>
      <c r="DJ31" t="s">
        <v>13</v>
      </c>
      <c r="DK31" s="41"/>
      <c r="DL31" s="41"/>
      <c r="DM31" s="41"/>
      <c r="DN31" s="41"/>
      <c r="DO31" s="41"/>
      <c r="DT31" t="s">
        <v>13</v>
      </c>
      <c r="DU31" s="41"/>
      <c r="DV31" s="41"/>
      <c r="DW31" s="41"/>
      <c r="DX31" s="41"/>
      <c r="DY31" s="41"/>
      <c r="ED31" t="s">
        <v>13</v>
      </c>
      <c r="EE31" s="41"/>
      <c r="EF31" s="41"/>
      <c r="EG31" s="41"/>
      <c r="EH31" s="41"/>
      <c r="EI31" s="41"/>
    </row>
    <row r="32" spans="1:139" x14ac:dyDescent="0.3">
      <c r="A32" s="55" t="s">
        <v>62</v>
      </c>
      <c r="D32" t="s">
        <v>17</v>
      </c>
      <c r="E32" s="41">
        <f>MIN(E28:E30)</f>
        <v>-46.326000000000001</v>
      </c>
      <c r="F32" s="41"/>
      <c r="G32" s="41">
        <f>MIN(G28:G30)</f>
        <v>0</v>
      </c>
      <c r="H32" s="41"/>
      <c r="I32" s="41">
        <f>MIN(I28:I30)</f>
        <v>0</v>
      </c>
      <c r="N32" t="s">
        <v>17</v>
      </c>
      <c r="O32" s="41">
        <f>MIN(O28:O30)</f>
        <v>-53.631</v>
      </c>
      <c r="P32" s="41"/>
      <c r="Q32" s="41">
        <f>MIN(Q28:Q30)</f>
        <v>0</v>
      </c>
      <c r="R32" s="41"/>
      <c r="S32" s="41">
        <f>MIN(S28:S30)</f>
        <v>0</v>
      </c>
      <c r="Y32" s="41">
        <f>MIN(Y28:Y30)</f>
        <v>-44.643000000000008</v>
      </c>
      <c r="Z32" s="41"/>
      <c r="AA32" s="41">
        <f>MIN(AA28:AA30)</f>
        <v>0</v>
      </c>
      <c r="AB32" s="41"/>
      <c r="AC32" s="41">
        <f>MIN(AC28:AC30)</f>
        <v>0</v>
      </c>
      <c r="AI32" s="41">
        <f>MIN(AI28:AI30)</f>
        <v>-45.458999999999996</v>
      </c>
      <c r="AJ32" s="41"/>
      <c r="AK32" s="41">
        <f>MIN(AK28:AK30)</f>
        <v>0</v>
      </c>
      <c r="AL32" s="41"/>
      <c r="AM32" s="41">
        <f>MIN(AM28:AM30)</f>
        <v>0</v>
      </c>
      <c r="AS32" s="41">
        <f>MIN(AS28:AS30)</f>
        <v>-45.291000000000004</v>
      </c>
      <c r="AT32" s="41"/>
      <c r="AU32" s="41">
        <f>MIN(AU28:AU30)</f>
        <v>0</v>
      </c>
      <c r="AV32" s="41"/>
      <c r="AW32" s="41">
        <f>MIN(AW28:AW30)</f>
        <v>0</v>
      </c>
      <c r="BC32" s="41">
        <f>MIN(BC28:BC30)</f>
        <v>-60.285000000000004</v>
      </c>
      <c r="BD32" s="41"/>
      <c r="BE32" s="41">
        <f>MIN(BE28:BE30)</f>
        <v>0</v>
      </c>
      <c r="BF32" s="41"/>
      <c r="BG32" s="41">
        <f>MIN(BG28:BG30)</f>
        <v>0</v>
      </c>
      <c r="BM32" s="41">
        <f>MIN(BM28:BM30)</f>
        <v>-78.212999999999994</v>
      </c>
      <c r="BN32" s="41"/>
      <c r="BO32" s="41">
        <f>MIN(BO28:BO30)</f>
        <v>0</v>
      </c>
      <c r="BP32" s="41"/>
      <c r="BQ32" s="41">
        <f>MIN(BQ28:BQ30)</f>
        <v>0</v>
      </c>
      <c r="BW32" s="41">
        <f>MIN(BW28:BW30)</f>
        <v>-80.532000000000011</v>
      </c>
      <c r="BX32" s="41"/>
      <c r="BY32" s="41">
        <f>MIN(BY28:BY30)</f>
        <v>0</v>
      </c>
      <c r="BZ32" s="41"/>
      <c r="CA32" s="41">
        <f>MIN(CA28:CA30)</f>
        <v>0</v>
      </c>
      <c r="CG32" s="41">
        <f>MIN(CG28:CG30)</f>
        <v>-79.811999999999998</v>
      </c>
      <c r="CH32" s="41"/>
      <c r="CI32" s="41">
        <f>MIN(CI28:CI30)</f>
        <v>0</v>
      </c>
      <c r="CJ32" s="41"/>
      <c r="CK32" s="41">
        <f>MIN(CK28:CK30)</f>
        <v>0</v>
      </c>
      <c r="CQ32" s="41">
        <f>MIN(CQ28:CQ30)</f>
        <v>-79.760999999999996</v>
      </c>
      <c r="CR32" s="41"/>
      <c r="CS32" s="41">
        <f>MIN(CS28:CS30)</f>
        <v>0</v>
      </c>
      <c r="CT32" s="41"/>
      <c r="CU32" s="41">
        <f>MIN(CU28:CU30)</f>
        <v>0</v>
      </c>
      <c r="DA32" s="41">
        <f>MIN(DA28:DA30)</f>
        <v>-97.611000000000004</v>
      </c>
      <c r="DB32" s="41"/>
      <c r="DC32" s="41">
        <f>MIN(DC28:DC30)</f>
        <v>0</v>
      </c>
      <c r="DD32" s="41"/>
      <c r="DE32" s="41">
        <f>MIN(DE28:DE30)</f>
        <v>0</v>
      </c>
      <c r="DK32" s="41">
        <f>MIN(DK28:DK30)</f>
        <v>-106.968</v>
      </c>
      <c r="DL32" s="41"/>
      <c r="DM32" s="41">
        <f>MIN(DM28:DM30)</f>
        <v>0</v>
      </c>
      <c r="DN32" s="41"/>
      <c r="DO32" s="41">
        <f>MIN(DO28:DO30)</f>
        <v>0</v>
      </c>
      <c r="DU32" s="41">
        <f>MIN(DU28:DU30)</f>
        <v>-106.773</v>
      </c>
      <c r="DV32" s="41"/>
      <c r="DW32" s="41">
        <f>MIN(DW28:DW30)</f>
        <v>0</v>
      </c>
      <c r="DX32" s="41"/>
      <c r="DY32" s="41">
        <f>MIN(DY28:DY30)</f>
        <v>0</v>
      </c>
      <c r="EE32" s="41">
        <f>MIN(EE28:EE30)</f>
        <v>-72.444000000000003</v>
      </c>
      <c r="EF32" s="41"/>
      <c r="EG32" s="41">
        <f>MIN(EG28:EG30)</f>
        <v>0</v>
      </c>
      <c r="EH32" s="41"/>
      <c r="EI32" s="41">
        <f>MIN(EI28:EI30)</f>
        <v>0</v>
      </c>
    </row>
    <row r="33" spans="1:139" x14ac:dyDescent="0.3">
      <c r="A33" s="24"/>
      <c r="B33" s="24"/>
      <c r="C33" s="24"/>
      <c r="D33" s="24" t="s">
        <v>18</v>
      </c>
      <c r="E33" s="42">
        <f>E32-E22</f>
        <v>0.45900000000000318</v>
      </c>
      <c r="F33" s="42"/>
      <c r="G33" s="42">
        <f>G32-G22</f>
        <v>0</v>
      </c>
      <c r="H33" s="42"/>
      <c r="I33" s="42">
        <f>I32-I22</f>
        <v>0</v>
      </c>
      <c r="K33" s="24"/>
      <c r="L33" s="24"/>
      <c r="M33" s="24"/>
      <c r="N33" s="24" t="s">
        <v>18</v>
      </c>
      <c r="O33" s="42">
        <f>O32-O22</f>
        <v>0.45899999999999608</v>
      </c>
      <c r="P33" s="42"/>
      <c r="Q33" s="42">
        <f>Q32-Q22</f>
        <v>0</v>
      </c>
      <c r="R33" s="42"/>
      <c r="S33" s="42">
        <f>S32-S22</f>
        <v>0</v>
      </c>
      <c r="U33" s="24"/>
      <c r="V33" s="24"/>
      <c r="W33" s="24"/>
      <c r="Y33" s="42">
        <f>Y32-Y22</f>
        <v>0.45899999999999608</v>
      </c>
      <c r="Z33" s="42"/>
      <c r="AA33" s="42">
        <f>AA32-AA22</f>
        <v>0</v>
      </c>
      <c r="AB33" s="42"/>
      <c r="AC33" s="42">
        <f>AC32-AC22</f>
        <v>0</v>
      </c>
      <c r="AE33" s="24"/>
      <c r="AF33" s="24"/>
      <c r="AG33" s="24"/>
      <c r="AH33" s="24"/>
      <c r="AI33" s="42">
        <f>AI32-AI22</f>
        <v>0.45900000000000318</v>
      </c>
      <c r="AJ33" s="42"/>
      <c r="AK33" s="42">
        <f>AK32-AK22</f>
        <v>0</v>
      </c>
      <c r="AL33" s="42"/>
      <c r="AM33" s="42">
        <f>AM32-AM22</f>
        <v>0</v>
      </c>
      <c r="AO33" s="24"/>
      <c r="AP33" s="24"/>
      <c r="AQ33" s="24"/>
      <c r="AR33" s="24"/>
      <c r="AS33" s="42">
        <f>AS32-AS22</f>
        <v>0.45899999999999608</v>
      </c>
      <c r="AT33" s="42"/>
      <c r="AU33" s="42">
        <f>AU32-AU22</f>
        <v>0</v>
      </c>
      <c r="AV33" s="42"/>
      <c r="AW33" s="42">
        <f>AW32-AW22</f>
        <v>0</v>
      </c>
      <c r="AY33" s="24"/>
      <c r="AZ33" s="24"/>
      <c r="BA33" s="24"/>
      <c r="BB33" s="24"/>
      <c r="BC33" s="42">
        <f>BC32-BC22</f>
        <v>0.45899999999999608</v>
      </c>
      <c r="BD33" s="42"/>
      <c r="BE33" s="42">
        <f>BE32-BE22</f>
        <v>0</v>
      </c>
      <c r="BF33" s="42"/>
      <c r="BG33" s="42">
        <f>BG32-BG22</f>
        <v>0</v>
      </c>
      <c r="BI33" s="24"/>
      <c r="BJ33" s="24"/>
      <c r="BK33" s="24"/>
      <c r="BL33" s="24"/>
      <c r="BM33" s="42">
        <f>BM32-BM22</f>
        <v>0.45900000000000318</v>
      </c>
      <c r="BN33" s="42"/>
      <c r="BO33" s="42">
        <f>BO32-BO22</f>
        <v>0</v>
      </c>
      <c r="BP33" s="42"/>
      <c r="BQ33" s="42">
        <f>BQ32-BQ22</f>
        <v>0</v>
      </c>
      <c r="BS33" s="24"/>
      <c r="BT33" s="24"/>
      <c r="BU33" s="24"/>
      <c r="BV33" s="24"/>
      <c r="BW33" s="42">
        <f>BW32-BW22</f>
        <v>0.45899999999998897</v>
      </c>
      <c r="BX33" s="42"/>
      <c r="BY33" s="42">
        <f>BY32-BY22</f>
        <v>0</v>
      </c>
      <c r="BZ33" s="42"/>
      <c r="CA33" s="42">
        <f>CA32-CA22</f>
        <v>0</v>
      </c>
      <c r="CC33" s="24"/>
      <c r="CD33" s="24"/>
      <c r="CE33" s="24"/>
      <c r="CF33" s="24"/>
      <c r="CG33" s="42">
        <f>CG32-CG22</f>
        <v>0.45900000000000318</v>
      </c>
      <c r="CH33" s="42"/>
      <c r="CI33" s="42">
        <f>CI32-CI22</f>
        <v>0</v>
      </c>
      <c r="CJ33" s="42"/>
      <c r="CK33" s="42">
        <f>CK32-CK22</f>
        <v>0</v>
      </c>
      <c r="CM33" s="24"/>
      <c r="CN33" s="24"/>
      <c r="CO33" s="24"/>
      <c r="CP33" s="24"/>
      <c r="CQ33" s="42">
        <f>CQ32-CQ22</f>
        <v>0.45900000000000318</v>
      </c>
      <c r="CR33" s="42"/>
      <c r="CS33" s="42">
        <f>CS32-CS22</f>
        <v>0</v>
      </c>
      <c r="CT33" s="42"/>
      <c r="CU33" s="42">
        <f>CU32-CU22</f>
        <v>0</v>
      </c>
      <c r="CW33" s="24"/>
      <c r="CX33" s="24"/>
      <c r="CY33" s="24"/>
      <c r="CZ33" s="24"/>
      <c r="DA33" s="42">
        <f>DA32-DA22</f>
        <v>0.45900000000000318</v>
      </c>
      <c r="DB33" s="42"/>
      <c r="DC33" s="42">
        <f>DC32-DC22</f>
        <v>0</v>
      </c>
      <c r="DD33" s="42"/>
      <c r="DE33" s="42">
        <f>DE32-DE22</f>
        <v>0</v>
      </c>
      <c r="DG33" s="24"/>
      <c r="DH33" s="24"/>
      <c r="DI33" s="24"/>
      <c r="DJ33" s="24"/>
      <c r="DK33" s="42">
        <f>DK32-DK22</f>
        <v>0.45900000000000318</v>
      </c>
      <c r="DL33" s="42"/>
      <c r="DM33" s="42">
        <f>DM32-DM22</f>
        <v>0</v>
      </c>
      <c r="DN33" s="42"/>
      <c r="DO33" s="42">
        <f>DO32-DO22</f>
        <v>0</v>
      </c>
      <c r="DQ33" s="24"/>
      <c r="DR33" s="24"/>
      <c r="DS33" s="24"/>
      <c r="DT33" s="24"/>
      <c r="DU33" s="42">
        <f>DU32-DU22</f>
        <v>0.45900000000000318</v>
      </c>
      <c r="DV33" s="42"/>
      <c r="DW33" s="42">
        <f>DW32-DW22</f>
        <v>0</v>
      </c>
      <c r="DX33" s="42"/>
      <c r="DY33" s="42">
        <f>DY32-DY22</f>
        <v>0</v>
      </c>
      <c r="EA33" s="24"/>
      <c r="EB33" s="24"/>
      <c r="EC33" s="24"/>
      <c r="ED33" s="24"/>
      <c r="EE33" s="42">
        <f>EE32-EE22</f>
        <v>0.45899999999998897</v>
      </c>
      <c r="EF33" s="42"/>
      <c r="EG33" s="42">
        <f>EG32-EG22</f>
        <v>0</v>
      </c>
      <c r="EH33" s="42"/>
      <c r="EI33" s="42">
        <f>EI32-EI22</f>
        <v>0</v>
      </c>
    </row>
    <row r="34" spans="1:139" x14ac:dyDescent="0.3">
      <c r="E34" s="10"/>
      <c r="S34" s="55"/>
      <c r="X34" s="24" t="s">
        <v>18</v>
      </c>
      <c r="AC34" s="55"/>
      <c r="AL34" s="55"/>
      <c r="AM34" s="55"/>
      <c r="AV34" s="55"/>
      <c r="AW34" s="55"/>
      <c r="BF34" s="55"/>
      <c r="BG34" s="55"/>
      <c r="BP34" s="55"/>
      <c r="BQ34" s="55"/>
      <c r="BZ34" s="55"/>
      <c r="CA34" s="55"/>
      <c r="CJ34" s="55"/>
      <c r="CK34" s="55"/>
      <c r="CT34" s="55"/>
      <c r="CU34" s="55"/>
      <c r="DD34" s="55"/>
      <c r="DE34" s="55"/>
      <c r="DN34" s="55"/>
      <c r="DO34" s="55"/>
      <c r="DX34" s="55"/>
      <c r="DY34" s="55"/>
      <c r="EH34" s="55"/>
      <c r="EI34" s="55"/>
    </row>
    <row r="35" spans="1:139" x14ac:dyDescent="0.3">
      <c r="A35" s="8">
        <v>2021</v>
      </c>
      <c r="D35" s="8">
        <f>A35</f>
        <v>2021</v>
      </c>
      <c r="E35" s="41"/>
      <c r="F35" s="41"/>
      <c r="G35" s="41"/>
      <c r="H35" s="41"/>
      <c r="I35" s="41"/>
      <c r="K35" s="8">
        <v>2021</v>
      </c>
      <c r="L35" s="55"/>
      <c r="M35" s="55"/>
      <c r="N35" s="8">
        <f>K35</f>
        <v>2021</v>
      </c>
      <c r="O35" s="41"/>
      <c r="P35" s="41"/>
      <c r="Q35" s="41"/>
      <c r="R35" s="41"/>
      <c r="S35" s="41"/>
      <c r="U35" s="8">
        <v>2021</v>
      </c>
      <c r="V35" s="55"/>
      <c r="W35" s="55"/>
      <c r="X35" s="8">
        <f>U35</f>
        <v>2021</v>
      </c>
      <c r="Y35" s="41"/>
      <c r="Z35" s="41"/>
      <c r="AA35" s="41"/>
      <c r="AB35" s="41"/>
      <c r="AC35" s="41"/>
      <c r="AE35" s="8">
        <v>2021</v>
      </c>
      <c r="AF35" s="55"/>
      <c r="AG35" s="55"/>
      <c r="AH35" s="8">
        <f>AE35</f>
        <v>2021</v>
      </c>
      <c r="AI35" s="41"/>
      <c r="AJ35" s="41"/>
      <c r="AK35" s="41"/>
      <c r="AL35" s="41"/>
      <c r="AM35" s="41"/>
      <c r="AO35" s="8">
        <v>2021</v>
      </c>
      <c r="AP35" s="55"/>
      <c r="AQ35" s="55"/>
      <c r="AR35" s="8">
        <f>AO35</f>
        <v>2021</v>
      </c>
      <c r="AS35" s="41"/>
      <c r="AT35" s="41"/>
      <c r="AU35" s="41"/>
      <c r="AV35" s="41"/>
      <c r="AW35" s="41"/>
      <c r="AY35" s="8">
        <v>2021</v>
      </c>
      <c r="AZ35" s="55"/>
      <c r="BA35" s="55"/>
      <c r="BB35" s="8">
        <f>AY35</f>
        <v>2021</v>
      </c>
      <c r="BC35" s="41"/>
      <c r="BD35" s="41"/>
      <c r="BE35" s="41"/>
      <c r="BF35" s="41"/>
      <c r="BG35" s="41"/>
      <c r="BI35" s="8">
        <v>2021</v>
      </c>
      <c r="BJ35" s="55"/>
      <c r="BK35" s="55"/>
      <c r="BL35" s="8">
        <f>BI35</f>
        <v>2021</v>
      </c>
      <c r="BM35" s="41"/>
      <c r="BN35" s="41"/>
      <c r="BO35" s="41"/>
      <c r="BP35" s="41"/>
      <c r="BQ35" s="41"/>
      <c r="BS35" s="8">
        <v>2021</v>
      </c>
      <c r="BT35" s="55"/>
      <c r="BU35" s="55"/>
      <c r="BV35" s="8">
        <f>BS35</f>
        <v>2021</v>
      </c>
      <c r="BW35" s="41"/>
      <c r="BX35" s="41"/>
      <c r="BY35" s="41"/>
      <c r="BZ35" s="41"/>
      <c r="CA35" s="41"/>
      <c r="CC35" s="8">
        <v>2021</v>
      </c>
      <c r="CD35" s="55"/>
      <c r="CE35" s="55"/>
      <c r="CF35" s="8">
        <f>CC35</f>
        <v>2021</v>
      </c>
      <c r="CG35" s="41"/>
      <c r="CH35" s="41"/>
      <c r="CI35" s="41"/>
      <c r="CJ35" s="41"/>
      <c r="CK35" s="41"/>
      <c r="CM35" s="8">
        <v>2021</v>
      </c>
      <c r="CN35" s="55"/>
      <c r="CO35" s="55"/>
      <c r="CP35" s="8">
        <f>CM35</f>
        <v>2021</v>
      </c>
      <c r="CQ35" s="41"/>
      <c r="CR35" s="41"/>
      <c r="CS35" s="41"/>
      <c r="CT35" s="41"/>
      <c r="CU35" s="41"/>
      <c r="CW35" s="8">
        <v>2021</v>
      </c>
      <c r="CX35" s="55"/>
      <c r="CY35" s="55"/>
      <c r="CZ35" s="8">
        <f>CW35</f>
        <v>2021</v>
      </c>
      <c r="DA35" s="41"/>
      <c r="DB35" s="41"/>
      <c r="DC35" s="41"/>
      <c r="DD35" s="41"/>
      <c r="DE35" s="41"/>
      <c r="DG35" s="8">
        <v>2021</v>
      </c>
      <c r="DH35" s="55"/>
      <c r="DI35" s="55"/>
      <c r="DJ35" s="8">
        <f>DG35</f>
        <v>2021</v>
      </c>
      <c r="DK35" s="41"/>
      <c r="DL35" s="41"/>
      <c r="DM35" s="41"/>
      <c r="DN35" s="41"/>
      <c r="DO35" s="41"/>
      <c r="DQ35" s="8">
        <v>2021</v>
      </c>
      <c r="DR35" s="55"/>
      <c r="DS35" s="55"/>
      <c r="DT35" s="8">
        <f>DQ35</f>
        <v>2021</v>
      </c>
      <c r="DU35" s="41"/>
      <c r="DV35" s="41"/>
      <c r="DW35" s="41"/>
      <c r="DX35" s="41"/>
      <c r="DY35" s="41"/>
      <c r="EA35" s="8">
        <v>2021</v>
      </c>
      <c r="EB35" s="55"/>
      <c r="EC35" s="55"/>
      <c r="ED35" s="8">
        <f>EA35</f>
        <v>2021</v>
      </c>
      <c r="EE35" s="41"/>
      <c r="EF35" s="41"/>
      <c r="EG35" s="41"/>
      <c r="EH35" s="41"/>
      <c r="EI35" s="41"/>
    </row>
    <row r="36" spans="1:139" x14ac:dyDescent="0.3">
      <c r="A36" s="55" t="s">
        <v>10</v>
      </c>
      <c r="B36" s="3">
        <f>B$16</f>
        <v>1.5442</v>
      </c>
      <c r="D36" s="55" t="s">
        <v>12</v>
      </c>
      <c r="E36" s="41">
        <f>E$3*0.01</f>
        <v>0</v>
      </c>
      <c r="F36" s="41"/>
      <c r="G36" s="41">
        <f>G$3*0.02</f>
        <v>0</v>
      </c>
      <c r="H36" s="41"/>
      <c r="I36" s="41">
        <f>I$3*0.03</f>
        <v>0</v>
      </c>
      <c r="K36" s="55" t="s">
        <v>10</v>
      </c>
      <c r="L36" s="3">
        <f>L$16</f>
        <v>1.7877000000000001</v>
      </c>
      <c r="M36" s="55"/>
      <c r="N36" s="55" t="s">
        <v>12</v>
      </c>
      <c r="O36" s="41">
        <f>O$3*0.01</f>
        <v>0</v>
      </c>
      <c r="P36" s="41"/>
      <c r="Q36" s="41">
        <f>Q$3*0.02</f>
        <v>0</v>
      </c>
      <c r="R36" s="41"/>
      <c r="S36" s="41">
        <f>S$3*0.03</f>
        <v>0</v>
      </c>
      <c r="U36" s="55" t="s">
        <v>10</v>
      </c>
      <c r="V36" s="3">
        <f>V$16</f>
        <v>1.4881000000000002</v>
      </c>
      <c r="W36" s="55"/>
      <c r="X36" s="55" t="s">
        <v>12</v>
      </c>
      <c r="Y36" s="41">
        <f>Y$3*0.01</f>
        <v>0</v>
      </c>
      <c r="Z36" s="41"/>
      <c r="AA36" s="41">
        <f>AA$3*0.02</f>
        <v>0</v>
      </c>
      <c r="AB36" s="41"/>
      <c r="AC36" s="41">
        <f>AC$3*0.03</f>
        <v>0</v>
      </c>
      <c r="AE36" s="55" t="s">
        <v>10</v>
      </c>
      <c r="AF36" s="3">
        <f>AF$16</f>
        <v>1.5152999999999999</v>
      </c>
      <c r="AG36" s="55"/>
      <c r="AH36" s="55" t="s">
        <v>12</v>
      </c>
      <c r="AI36" s="41">
        <f>AI$3*0.01</f>
        <v>0</v>
      </c>
      <c r="AJ36" s="41"/>
      <c r="AK36" s="41">
        <f>AK$3*0.02</f>
        <v>0</v>
      </c>
      <c r="AL36" s="41"/>
      <c r="AM36" s="41">
        <f>AM$3*0.03</f>
        <v>0</v>
      </c>
      <c r="AO36" s="55" t="s">
        <v>10</v>
      </c>
      <c r="AP36" s="3">
        <f>AP$16</f>
        <v>1.5097</v>
      </c>
      <c r="AQ36" s="55"/>
      <c r="AR36" s="55" t="s">
        <v>12</v>
      </c>
      <c r="AS36" s="41">
        <f>AS$3*0.01</f>
        <v>0</v>
      </c>
      <c r="AT36" s="41"/>
      <c r="AU36" s="41">
        <f>AU$3*0.02</f>
        <v>0</v>
      </c>
      <c r="AV36" s="41"/>
      <c r="AW36" s="41">
        <f>AW$3*0.03</f>
        <v>0</v>
      </c>
      <c r="AY36" s="55" t="s">
        <v>10</v>
      </c>
      <c r="AZ36" s="3">
        <f>AZ$16</f>
        <v>2.0095000000000001</v>
      </c>
      <c r="BA36" s="55"/>
      <c r="BB36" s="55" t="s">
        <v>12</v>
      </c>
      <c r="BC36" s="41">
        <f>BC$3*0.01</f>
        <v>0</v>
      </c>
      <c r="BD36" s="41"/>
      <c r="BE36" s="41">
        <f>BE$3*0.02</f>
        <v>0</v>
      </c>
      <c r="BF36" s="41"/>
      <c r="BG36" s="41">
        <f>BG$3*0.03</f>
        <v>0</v>
      </c>
      <c r="BI36" s="55" t="s">
        <v>10</v>
      </c>
      <c r="BJ36" s="3">
        <f>BJ$16</f>
        <v>2.6071</v>
      </c>
      <c r="BK36" s="55"/>
      <c r="BL36" s="55" t="s">
        <v>12</v>
      </c>
      <c r="BM36" s="41">
        <f>BM$3*0.01</f>
        <v>0</v>
      </c>
      <c r="BN36" s="41"/>
      <c r="BO36" s="41">
        <f>BO$3*0.02</f>
        <v>0</v>
      </c>
      <c r="BP36" s="41"/>
      <c r="BQ36" s="41">
        <f>BQ$3*0.03</f>
        <v>0</v>
      </c>
      <c r="BS36" s="55" t="s">
        <v>10</v>
      </c>
      <c r="BT36" s="3">
        <f>BT$16</f>
        <v>2.6844000000000001</v>
      </c>
      <c r="BU36" s="55"/>
      <c r="BV36" s="55" t="s">
        <v>12</v>
      </c>
      <c r="BW36" s="41">
        <f>BW$3*0.01</f>
        <v>0</v>
      </c>
      <c r="BX36" s="41"/>
      <c r="BY36" s="41">
        <f>BY$3*0.02</f>
        <v>0</v>
      </c>
      <c r="BZ36" s="41"/>
      <c r="CA36" s="41">
        <f>CA$3*0.03</f>
        <v>0</v>
      </c>
      <c r="CC36" s="55" t="s">
        <v>10</v>
      </c>
      <c r="CD36" s="3">
        <f>CD$16</f>
        <v>2.6604000000000001</v>
      </c>
      <c r="CE36" s="55"/>
      <c r="CF36" s="55" t="s">
        <v>12</v>
      </c>
      <c r="CG36" s="41">
        <f>CG$3*0.01</f>
        <v>0</v>
      </c>
      <c r="CH36" s="41"/>
      <c r="CI36" s="41">
        <f>CI$3*0.02</f>
        <v>0</v>
      </c>
      <c r="CJ36" s="41"/>
      <c r="CK36" s="41">
        <f>CK$3*0.03</f>
        <v>0</v>
      </c>
      <c r="CM36" s="55" t="s">
        <v>10</v>
      </c>
      <c r="CN36" s="3">
        <f>CN$16</f>
        <v>2.6587000000000001</v>
      </c>
      <c r="CO36" s="55"/>
      <c r="CP36" s="55" t="s">
        <v>12</v>
      </c>
      <c r="CQ36" s="41">
        <f>CQ$3*0.01</f>
        <v>0</v>
      </c>
      <c r="CR36" s="41"/>
      <c r="CS36" s="41">
        <f>CS$3*0.02</f>
        <v>0</v>
      </c>
      <c r="CT36" s="41"/>
      <c r="CU36" s="41">
        <f>CU$3*0.03</f>
        <v>0</v>
      </c>
      <c r="CW36" s="55" t="s">
        <v>10</v>
      </c>
      <c r="CX36" s="3">
        <f>CX$16</f>
        <v>3.2537000000000003</v>
      </c>
      <c r="CY36" s="55"/>
      <c r="CZ36" s="55" t="s">
        <v>12</v>
      </c>
      <c r="DA36" s="41">
        <f>DA$3*0.01</f>
        <v>0</v>
      </c>
      <c r="DB36" s="41"/>
      <c r="DC36" s="41">
        <f>DC$3*0.02</f>
        <v>0</v>
      </c>
      <c r="DD36" s="41"/>
      <c r="DE36" s="41">
        <f>DE$3*0.03</f>
        <v>0</v>
      </c>
      <c r="DG36" s="55" t="s">
        <v>10</v>
      </c>
      <c r="DH36" s="3">
        <f>DH$16</f>
        <v>3.5656000000000003</v>
      </c>
      <c r="DI36" s="55"/>
      <c r="DJ36" s="55" t="s">
        <v>12</v>
      </c>
      <c r="DK36" s="41">
        <f>DK$3*0.01</f>
        <v>0</v>
      </c>
      <c r="DL36" s="41"/>
      <c r="DM36" s="41">
        <f>DM$3*0.02</f>
        <v>0</v>
      </c>
      <c r="DN36" s="41"/>
      <c r="DO36" s="41">
        <f>DO$3*0.03</f>
        <v>0</v>
      </c>
      <c r="DQ36" s="55" t="s">
        <v>10</v>
      </c>
      <c r="DR36" s="3">
        <f>DR$16</f>
        <v>3.5590999999999999</v>
      </c>
      <c r="DS36" s="55"/>
      <c r="DT36" s="55" t="s">
        <v>12</v>
      </c>
      <c r="DU36" s="41">
        <f>DU$3*0.01</f>
        <v>0</v>
      </c>
      <c r="DV36" s="41"/>
      <c r="DW36" s="41">
        <f>DW$3*0.02</f>
        <v>0</v>
      </c>
      <c r="DX36" s="41"/>
      <c r="DY36" s="41">
        <f>DY$3*0.03</f>
        <v>0</v>
      </c>
      <c r="EA36" s="55" t="s">
        <v>10</v>
      </c>
      <c r="EB36" s="3">
        <f>EB$16</f>
        <v>2.4148000000000001</v>
      </c>
      <c r="EC36" s="55"/>
      <c r="ED36" s="55" t="s">
        <v>12</v>
      </c>
      <c r="EE36" s="41">
        <f>EE$3*0.01</f>
        <v>0</v>
      </c>
      <c r="EF36" s="41"/>
      <c r="EG36" s="41">
        <f>EG$3*0.02</f>
        <v>0</v>
      </c>
      <c r="EH36" s="41"/>
      <c r="EI36" s="41">
        <f>EI$3*0.03</f>
        <v>0</v>
      </c>
    </row>
    <row r="37" spans="1:139" x14ac:dyDescent="0.3">
      <c r="A37" s="55" t="s">
        <v>11</v>
      </c>
      <c r="B37" s="3">
        <v>7.5700000000000003E-2</v>
      </c>
      <c r="D37" s="55" t="s">
        <v>15</v>
      </c>
      <c r="E37" s="41">
        <f>B37*E$13/100</f>
        <v>-2.2710000000000004</v>
      </c>
      <c r="F37" s="41"/>
      <c r="G37" s="41">
        <f>B37*G$13/100</f>
        <v>0</v>
      </c>
      <c r="H37" s="41"/>
      <c r="I37" s="41">
        <f>B37*I$13/100</f>
        <v>0</v>
      </c>
      <c r="K37" s="55" t="s">
        <v>11</v>
      </c>
      <c r="L37" s="3">
        <f>$B$37</f>
        <v>7.5700000000000003E-2</v>
      </c>
      <c r="M37" s="55"/>
      <c r="N37" s="55" t="s">
        <v>15</v>
      </c>
      <c r="O37" s="41">
        <f>L37*O$13/100</f>
        <v>-2.2710000000000004</v>
      </c>
      <c r="P37" s="41"/>
      <c r="Q37" s="41">
        <f>L37*Q$13/100</f>
        <v>0</v>
      </c>
      <c r="R37" s="41"/>
      <c r="S37" s="41">
        <f>L37*S$13/100</f>
        <v>0</v>
      </c>
      <c r="U37" s="55" t="s">
        <v>11</v>
      </c>
      <c r="V37" s="3">
        <f>$B$37</f>
        <v>7.5700000000000003E-2</v>
      </c>
      <c r="W37" s="55"/>
      <c r="X37" s="55" t="s">
        <v>15</v>
      </c>
      <c r="Y37" s="41">
        <f>V37*Y$13/100</f>
        <v>-2.2710000000000004</v>
      </c>
      <c r="Z37" s="41"/>
      <c r="AA37" s="41">
        <f>V37*AA$13/100</f>
        <v>0</v>
      </c>
      <c r="AB37" s="41"/>
      <c r="AC37" s="41">
        <f>V37*AC$13/100</f>
        <v>0</v>
      </c>
      <c r="AE37" s="55" t="s">
        <v>11</v>
      </c>
      <c r="AF37" s="3">
        <f>$B$37</f>
        <v>7.5700000000000003E-2</v>
      </c>
      <c r="AG37" s="55"/>
      <c r="AH37" s="55" t="s">
        <v>15</v>
      </c>
      <c r="AI37" s="41">
        <f>AF37*AI$13/100</f>
        <v>-2.2710000000000004</v>
      </c>
      <c r="AJ37" s="41"/>
      <c r="AK37" s="41">
        <f>AF37*AK$13/100</f>
        <v>0</v>
      </c>
      <c r="AL37" s="41"/>
      <c r="AM37" s="41">
        <f>AF37*AM$13/100</f>
        <v>0</v>
      </c>
      <c r="AO37" s="55" t="s">
        <v>11</v>
      </c>
      <c r="AP37" s="3">
        <f>$B$37</f>
        <v>7.5700000000000003E-2</v>
      </c>
      <c r="AQ37" s="55"/>
      <c r="AR37" s="55" t="s">
        <v>15</v>
      </c>
      <c r="AS37" s="41">
        <f>AP37*AS$13/100</f>
        <v>-2.2710000000000004</v>
      </c>
      <c r="AT37" s="41"/>
      <c r="AU37" s="41">
        <f>AP37*AU$13/100</f>
        <v>0</v>
      </c>
      <c r="AV37" s="41"/>
      <c r="AW37" s="41">
        <f>AP37*AW$13/100</f>
        <v>0</v>
      </c>
      <c r="AY37" s="55" t="s">
        <v>11</v>
      </c>
      <c r="AZ37" s="3">
        <f>$B$37</f>
        <v>7.5700000000000003E-2</v>
      </c>
      <c r="BA37" s="55"/>
      <c r="BB37" s="55" t="s">
        <v>15</v>
      </c>
      <c r="BC37" s="41">
        <f>AZ37*BC$13/100</f>
        <v>-2.2710000000000004</v>
      </c>
      <c r="BD37" s="41"/>
      <c r="BE37" s="41">
        <f>AZ37*BE$13/100</f>
        <v>0</v>
      </c>
      <c r="BF37" s="41"/>
      <c r="BG37" s="41">
        <f>AZ37*BG$13/100</f>
        <v>0</v>
      </c>
      <c r="BI37" s="55" t="s">
        <v>11</v>
      </c>
      <c r="BJ37" s="3">
        <f>$B$37</f>
        <v>7.5700000000000003E-2</v>
      </c>
      <c r="BK37" s="55"/>
      <c r="BL37" s="55" t="s">
        <v>15</v>
      </c>
      <c r="BM37" s="41">
        <f>BJ37*BM$13/100</f>
        <v>-2.2710000000000004</v>
      </c>
      <c r="BN37" s="41"/>
      <c r="BO37" s="41">
        <f>BJ37*BO$13/100</f>
        <v>0</v>
      </c>
      <c r="BP37" s="41"/>
      <c r="BQ37" s="41">
        <f>BJ37*BQ$13/100</f>
        <v>0</v>
      </c>
      <c r="BS37" s="55" t="s">
        <v>11</v>
      </c>
      <c r="BT37" s="3">
        <f>$B$37</f>
        <v>7.5700000000000003E-2</v>
      </c>
      <c r="BU37" s="55"/>
      <c r="BV37" s="55" t="s">
        <v>15</v>
      </c>
      <c r="BW37" s="41">
        <f>BT37*BW$13/100</f>
        <v>-2.2710000000000004</v>
      </c>
      <c r="BX37" s="41"/>
      <c r="BY37" s="41">
        <f>BT37*BY$13/100</f>
        <v>0</v>
      </c>
      <c r="BZ37" s="41"/>
      <c r="CA37" s="41">
        <f>BT37*CA$13/100</f>
        <v>0</v>
      </c>
      <c r="CC37" s="55" t="s">
        <v>11</v>
      </c>
      <c r="CD37" s="3">
        <f>$B$37</f>
        <v>7.5700000000000003E-2</v>
      </c>
      <c r="CE37" s="55"/>
      <c r="CF37" s="55" t="s">
        <v>15</v>
      </c>
      <c r="CG37" s="41">
        <f>CD37*CG$13/100</f>
        <v>-2.2710000000000004</v>
      </c>
      <c r="CH37" s="41"/>
      <c r="CI37" s="41">
        <f>CD37*CI$13/100</f>
        <v>0</v>
      </c>
      <c r="CJ37" s="41"/>
      <c r="CK37" s="41">
        <f>CD37*CK$13/100</f>
        <v>0</v>
      </c>
      <c r="CM37" s="55" t="s">
        <v>11</v>
      </c>
      <c r="CN37" s="3">
        <f>$B$37</f>
        <v>7.5700000000000003E-2</v>
      </c>
      <c r="CO37" s="55"/>
      <c r="CP37" s="55" t="s">
        <v>15</v>
      </c>
      <c r="CQ37" s="41">
        <f>CN37*CQ$13/100</f>
        <v>-2.2710000000000004</v>
      </c>
      <c r="CR37" s="41"/>
      <c r="CS37" s="41">
        <f>CN37*CS$13/100</f>
        <v>0</v>
      </c>
      <c r="CT37" s="41"/>
      <c r="CU37" s="41">
        <f>CN37*CU$13/100</f>
        <v>0</v>
      </c>
      <c r="CW37" s="55" t="s">
        <v>11</v>
      </c>
      <c r="CX37" s="3">
        <f>$B$37</f>
        <v>7.5700000000000003E-2</v>
      </c>
      <c r="CY37" s="55"/>
      <c r="CZ37" s="55" t="s">
        <v>15</v>
      </c>
      <c r="DA37" s="41">
        <f>CX37*DA$13/100</f>
        <v>-2.2710000000000004</v>
      </c>
      <c r="DB37" s="41"/>
      <c r="DC37" s="41">
        <f>CX37*DC$13/100</f>
        <v>0</v>
      </c>
      <c r="DD37" s="41"/>
      <c r="DE37" s="41">
        <f>CX37*DE$13/100</f>
        <v>0</v>
      </c>
      <c r="DG37" s="55" t="s">
        <v>11</v>
      </c>
      <c r="DH37" s="3">
        <f>$B$37</f>
        <v>7.5700000000000003E-2</v>
      </c>
      <c r="DI37" s="55"/>
      <c r="DJ37" s="55" t="s">
        <v>15</v>
      </c>
      <c r="DK37" s="41">
        <f>DH37*DK$13/100</f>
        <v>-2.2710000000000004</v>
      </c>
      <c r="DL37" s="41"/>
      <c r="DM37" s="41">
        <f>DH37*DM$13/100</f>
        <v>0</v>
      </c>
      <c r="DN37" s="41"/>
      <c r="DO37" s="41">
        <f>DH37*DO$13/100</f>
        <v>0</v>
      </c>
      <c r="DQ37" s="55" t="s">
        <v>11</v>
      </c>
      <c r="DR37" s="3">
        <f>$B$37</f>
        <v>7.5700000000000003E-2</v>
      </c>
      <c r="DS37" s="55"/>
      <c r="DT37" s="55" t="s">
        <v>15</v>
      </c>
      <c r="DU37" s="41">
        <f>DR37*DU$13/100</f>
        <v>-2.2710000000000004</v>
      </c>
      <c r="DV37" s="41"/>
      <c r="DW37" s="41">
        <f>DR37*DW$13/100</f>
        <v>0</v>
      </c>
      <c r="DX37" s="41"/>
      <c r="DY37" s="41">
        <f>DR37*DY$13/100</f>
        <v>0</v>
      </c>
      <c r="EA37" s="55" t="s">
        <v>11</v>
      </c>
      <c r="EB37" s="3">
        <f>$B$37</f>
        <v>7.5700000000000003E-2</v>
      </c>
      <c r="EC37" s="55"/>
      <c r="ED37" s="55" t="s">
        <v>15</v>
      </c>
      <c r="EE37" s="41">
        <f>EB37*EE$13/100</f>
        <v>-2.2710000000000004</v>
      </c>
      <c r="EF37" s="41"/>
      <c r="EG37" s="41">
        <f>EB37*EG$13/100</f>
        <v>0</v>
      </c>
      <c r="EH37" s="41"/>
      <c r="EI37" s="41">
        <f>EB37*EI$13/100</f>
        <v>0</v>
      </c>
    </row>
    <row r="38" spans="1:139" x14ac:dyDescent="0.3">
      <c r="A38" s="55" t="s">
        <v>14</v>
      </c>
      <c r="B38" s="3">
        <f>B36-B37</f>
        <v>1.4684999999999999</v>
      </c>
      <c r="D38" s="55" t="s">
        <v>71</v>
      </c>
      <c r="E38" s="41">
        <f>E36+E37</f>
        <v>-2.2710000000000004</v>
      </c>
      <c r="F38" s="41"/>
      <c r="G38" s="41">
        <f>G36+G37</f>
        <v>0</v>
      </c>
      <c r="H38" s="41"/>
      <c r="I38" s="41">
        <f>I36+I37</f>
        <v>0</v>
      </c>
      <c r="K38" s="55" t="s">
        <v>14</v>
      </c>
      <c r="L38" s="3">
        <f>L36-L37</f>
        <v>1.712</v>
      </c>
      <c r="M38" s="55"/>
      <c r="N38" s="55" t="s">
        <v>16</v>
      </c>
      <c r="O38" s="41">
        <f>O36+O37</f>
        <v>-2.2710000000000004</v>
      </c>
      <c r="P38" s="41"/>
      <c r="Q38" s="41">
        <f>Q36+Q37</f>
        <v>0</v>
      </c>
      <c r="R38" s="41"/>
      <c r="S38" s="41">
        <f>S36+S37</f>
        <v>0</v>
      </c>
      <c r="U38" s="55" t="s">
        <v>14</v>
      </c>
      <c r="V38" s="3">
        <f>V36-V37</f>
        <v>1.4124000000000001</v>
      </c>
      <c r="W38" s="55"/>
      <c r="X38" s="55" t="s">
        <v>16</v>
      </c>
      <c r="Y38" s="41">
        <f>Y36+Y37</f>
        <v>-2.2710000000000004</v>
      </c>
      <c r="Z38" s="41"/>
      <c r="AA38" s="41">
        <f>AA36+AA37</f>
        <v>0</v>
      </c>
      <c r="AB38" s="41"/>
      <c r="AC38" s="41">
        <f>AC36+AC37</f>
        <v>0</v>
      </c>
      <c r="AE38" s="55" t="s">
        <v>14</v>
      </c>
      <c r="AF38" s="3">
        <f>AF36-AF37</f>
        <v>1.4395999999999998</v>
      </c>
      <c r="AG38" s="55"/>
      <c r="AH38" s="55" t="s">
        <v>16</v>
      </c>
      <c r="AI38" s="41">
        <f>AI36+AI37</f>
        <v>-2.2710000000000004</v>
      </c>
      <c r="AJ38" s="41"/>
      <c r="AK38" s="41">
        <f>AK36+AK37</f>
        <v>0</v>
      </c>
      <c r="AL38" s="41"/>
      <c r="AM38" s="41">
        <f>AM36+AM37</f>
        <v>0</v>
      </c>
      <c r="AO38" s="55" t="s">
        <v>14</v>
      </c>
      <c r="AP38" s="3">
        <f>AP36-AP37</f>
        <v>1.4339999999999999</v>
      </c>
      <c r="AQ38" s="55"/>
      <c r="AR38" s="55" t="s">
        <v>16</v>
      </c>
      <c r="AS38" s="41">
        <f>AS36+AS37</f>
        <v>-2.2710000000000004</v>
      </c>
      <c r="AT38" s="41"/>
      <c r="AU38" s="41">
        <f>AU36+AU37</f>
        <v>0</v>
      </c>
      <c r="AV38" s="41"/>
      <c r="AW38" s="41">
        <f>AW36+AW37</f>
        <v>0</v>
      </c>
      <c r="AY38" s="55" t="s">
        <v>14</v>
      </c>
      <c r="AZ38" s="3">
        <f>AZ36-AZ37</f>
        <v>1.9338</v>
      </c>
      <c r="BA38" s="55"/>
      <c r="BB38" s="55" t="s">
        <v>16</v>
      </c>
      <c r="BC38" s="41">
        <f>BC36+BC37</f>
        <v>-2.2710000000000004</v>
      </c>
      <c r="BD38" s="41"/>
      <c r="BE38" s="41">
        <f>BE36+BE37</f>
        <v>0</v>
      </c>
      <c r="BF38" s="41"/>
      <c r="BG38" s="41">
        <f>BG36+BG37</f>
        <v>0</v>
      </c>
      <c r="BI38" s="55" t="s">
        <v>14</v>
      </c>
      <c r="BJ38" s="3">
        <f>BJ36-BJ37</f>
        <v>2.5314000000000001</v>
      </c>
      <c r="BK38" s="55"/>
      <c r="BL38" s="55" t="s">
        <v>16</v>
      </c>
      <c r="BM38" s="41">
        <f>BM36+BM37</f>
        <v>-2.2710000000000004</v>
      </c>
      <c r="BN38" s="41"/>
      <c r="BO38" s="41">
        <f>BO36+BO37</f>
        <v>0</v>
      </c>
      <c r="BP38" s="41"/>
      <c r="BQ38" s="41">
        <f>BQ36+BQ37</f>
        <v>0</v>
      </c>
      <c r="BS38" s="55" t="s">
        <v>14</v>
      </c>
      <c r="BT38" s="3">
        <f>BT36-BT37</f>
        <v>2.6087000000000002</v>
      </c>
      <c r="BU38" s="55"/>
      <c r="BV38" s="55" t="s">
        <v>16</v>
      </c>
      <c r="BW38" s="41">
        <f>BW36+BW37</f>
        <v>-2.2710000000000004</v>
      </c>
      <c r="BX38" s="41"/>
      <c r="BY38" s="41">
        <f>BY36+BY37</f>
        <v>0</v>
      </c>
      <c r="BZ38" s="41"/>
      <c r="CA38" s="41">
        <f>CA36+CA37</f>
        <v>0</v>
      </c>
      <c r="CC38" s="55" t="s">
        <v>14</v>
      </c>
      <c r="CD38" s="3">
        <f>CD36-CD37</f>
        <v>2.5847000000000002</v>
      </c>
      <c r="CE38" s="55"/>
      <c r="CF38" s="55" t="s">
        <v>16</v>
      </c>
      <c r="CG38" s="41">
        <f>CG36+CG37</f>
        <v>-2.2710000000000004</v>
      </c>
      <c r="CH38" s="41"/>
      <c r="CI38" s="41">
        <f>CI36+CI37</f>
        <v>0</v>
      </c>
      <c r="CJ38" s="41"/>
      <c r="CK38" s="41">
        <f>CK36+CK37</f>
        <v>0</v>
      </c>
      <c r="CM38" s="55" t="s">
        <v>14</v>
      </c>
      <c r="CN38" s="3">
        <f>CN36-CN37</f>
        <v>2.5830000000000002</v>
      </c>
      <c r="CO38" s="55"/>
      <c r="CP38" s="55" t="s">
        <v>16</v>
      </c>
      <c r="CQ38" s="41">
        <f>CQ36+CQ37</f>
        <v>-2.2710000000000004</v>
      </c>
      <c r="CR38" s="41"/>
      <c r="CS38" s="41">
        <f>CS36+CS37</f>
        <v>0</v>
      </c>
      <c r="CT38" s="41"/>
      <c r="CU38" s="41">
        <f>CU36+CU37</f>
        <v>0</v>
      </c>
      <c r="CW38" s="55" t="s">
        <v>14</v>
      </c>
      <c r="CX38" s="3">
        <f>CX36-CX37</f>
        <v>3.1780000000000004</v>
      </c>
      <c r="CY38" s="55"/>
      <c r="CZ38" s="55" t="s">
        <v>16</v>
      </c>
      <c r="DA38" s="41">
        <f>DA36+DA37</f>
        <v>-2.2710000000000004</v>
      </c>
      <c r="DB38" s="41"/>
      <c r="DC38" s="41">
        <f>DC36+DC37</f>
        <v>0</v>
      </c>
      <c r="DD38" s="41"/>
      <c r="DE38" s="41">
        <f>DE36+DE37</f>
        <v>0</v>
      </c>
      <c r="DG38" s="55" t="s">
        <v>14</v>
      </c>
      <c r="DH38" s="3">
        <f>DH36-DH37</f>
        <v>3.4899000000000004</v>
      </c>
      <c r="DI38" s="55"/>
      <c r="DJ38" s="55" t="s">
        <v>16</v>
      </c>
      <c r="DK38" s="41">
        <f>DK36+DK37</f>
        <v>-2.2710000000000004</v>
      </c>
      <c r="DL38" s="41"/>
      <c r="DM38" s="41">
        <f>DM36+DM37</f>
        <v>0</v>
      </c>
      <c r="DN38" s="41"/>
      <c r="DO38" s="41">
        <f>DO36+DO37</f>
        <v>0</v>
      </c>
      <c r="DQ38" s="55" t="s">
        <v>14</v>
      </c>
      <c r="DR38" s="3">
        <f>DR36-DR37</f>
        <v>3.4834000000000001</v>
      </c>
      <c r="DS38" s="55"/>
      <c r="DT38" s="55" t="s">
        <v>16</v>
      </c>
      <c r="DU38" s="41">
        <f>DU36+DU37</f>
        <v>-2.2710000000000004</v>
      </c>
      <c r="DV38" s="41"/>
      <c r="DW38" s="41">
        <f>DW36+DW37</f>
        <v>0</v>
      </c>
      <c r="DX38" s="41"/>
      <c r="DY38" s="41">
        <f>DY36+DY37</f>
        <v>0</v>
      </c>
      <c r="EA38" s="55" t="s">
        <v>14</v>
      </c>
      <c r="EB38" s="3">
        <f>EB36-EB37</f>
        <v>2.3391000000000002</v>
      </c>
      <c r="EC38" s="55"/>
      <c r="ED38" s="55" t="s">
        <v>16</v>
      </c>
      <c r="EE38" s="41">
        <f>EE36+EE37</f>
        <v>-2.2710000000000004</v>
      </c>
      <c r="EF38" s="41"/>
      <c r="EG38" s="41">
        <f>EG36+EG37</f>
        <v>0</v>
      </c>
      <c r="EH38" s="41"/>
      <c r="EI38" s="41">
        <f>EI36+EI37</f>
        <v>0</v>
      </c>
    </row>
    <row r="39" spans="1:139" x14ac:dyDescent="0.3">
      <c r="D39" s="55" t="s">
        <v>72</v>
      </c>
      <c r="E39" s="87" t="str">
        <f>IF($E$3&lt;160000,IF($B$7=1,E$32*1.02,"False"))</f>
        <v>False</v>
      </c>
      <c r="F39" s="41"/>
      <c r="G39" s="87"/>
      <c r="H39" s="41"/>
      <c r="I39" s="87"/>
      <c r="K39" s="55"/>
      <c r="L39" s="55"/>
      <c r="M39" s="55"/>
      <c r="N39" s="55"/>
      <c r="O39" s="87" t="str">
        <f>IF($E$3&lt;160000,IF($B$7=1,O$32*1.02,"False"))</f>
        <v>False</v>
      </c>
      <c r="P39" s="41"/>
      <c r="Q39" s="87"/>
      <c r="R39" s="41"/>
      <c r="S39" s="87"/>
      <c r="U39" s="55"/>
      <c r="V39" s="55"/>
      <c r="W39" s="55"/>
      <c r="X39" s="55"/>
      <c r="Y39" s="87" t="str">
        <f>IF($E$3&lt;160000,IF($B$7=1,Y$32*1.02,"False"))</f>
        <v>False</v>
      </c>
      <c r="Z39" s="41"/>
      <c r="AA39" s="87"/>
      <c r="AB39" s="41"/>
      <c r="AC39" s="87"/>
      <c r="AE39" s="55"/>
      <c r="AF39" s="55"/>
      <c r="AG39" s="55"/>
      <c r="AH39" s="55"/>
      <c r="AI39" s="87" t="str">
        <f>IF($E$3&lt;160000,IF($B$7=1,AI$32*1.02,"False"))</f>
        <v>False</v>
      </c>
      <c r="AJ39" s="87"/>
      <c r="AK39" s="87"/>
      <c r="AL39" s="41"/>
      <c r="AM39" s="87"/>
      <c r="AO39" s="55"/>
      <c r="AP39" s="55"/>
      <c r="AQ39" s="55"/>
      <c r="AR39" s="55"/>
      <c r="AS39" s="87" t="str">
        <f>IF($E$3&lt;160000,IF($B$7=1,AS$32*1.02,"False"))</f>
        <v>False</v>
      </c>
      <c r="AT39" s="87"/>
      <c r="AU39" s="87"/>
      <c r="AV39" s="41"/>
      <c r="AW39" s="87"/>
      <c r="AY39" s="55"/>
      <c r="AZ39" s="55"/>
      <c r="BA39" s="55"/>
      <c r="BB39" s="55"/>
      <c r="BC39" s="87" t="str">
        <f>IF($E$3&lt;160000,IF($B$7=1,BC$32*1.02,"False"))</f>
        <v>False</v>
      </c>
      <c r="BD39" s="87"/>
      <c r="BE39" s="87"/>
      <c r="BF39" s="41"/>
      <c r="BG39" s="87"/>
      <c r="BI39" s="55"/>
      <c r="BJ39" s="55"/>
      <c r="BK39" s="55"/>
      <c r="BL39" s="55"/>
      <c r="BM39" s="87" t="str">
        <f>IF($E$3&lt;160000,IF($B$7=1,BM$32*1.02,"False"))</f>
        <v>False</v>
      </c>
      <c r="BN39" s="87"/>
      <c r="BO39" s="87"/>
      <c r="BP39" s="41"/>
      <c r="BQ39" s="87"/>
      <c r="BS39" s="55"/>
      <c r="BT39" s="55"/>
      <c r="BU39" s="55"/>
      <c r="BV39" s="55"/>
      <c r="BW39" s="87" t="str">
        <f>IF($E$3&lt;160000,IF($B$7=1,BW$32*1.02,"False"))</f>
        <v>False</v>
      </c>
      <c r="BX39" s="87"/>
      <c r="BY39" s="87"/>
      <c r="BZ39" s="41"/>
      <c r="CA39" s="87"/>
      <c r="CC39" s="55"/>
      <c r="CD39" s="55"/>
      <c r="CE39" s="55"/>
      <c r="CF39" s="55"/>
      <c r="CG39" s="87" t="str">
        <f>IF($E$3&lt;160000,IF($B$7=1,CG$32*1.02,"False"))</f>
        <v>False</v>
      </c>
      <c r="CH39" s="87"/>
      <c r="CI39" s="87"/>
      <c r="CJ39" s="41"/>
      <c r="CK39" s="87"/>
      <c r="CM39" s="55"/>
      <c r="CN39" s="55"/>
      <c r="CO39" s="55"/>
      <c r="CP39" s="55"/>
      <c r="CQ39" s="87" t="str">
        <f>IF($E$3&lt;160000,IF($B$7=1,CQ$32*1.02,"False"))</f>
        <v>False</v>
      </c>
      <c r="CR39" s="87"/>
      <c r="CS39" s="87"/>
      <c r="CT39" s="41"/>
      <c r="CU39" s="87"/>
      <c r="CW39" s="55"/>
      <c r="CX39" s="55"/>
      <c r="CY39" s="55"/>
      <c r="CZ39" s="55"/>
      <c r="DA39" s="87" t="str">
        <f>IF($E$3&lt;160000,IF($B$7=1,DA$32*1.02,"False"))</f>
        <v>False</v>
      </c>
      <c r="DB39" s="87"/>
      <c r="DC39" s="87"/>
      <c r="DD39" s="41"/>
      <c r="DE39" s="87"/>
      <c r="DG39" s="55"/>
      <c r="DH39" s="55"/>
      <c r="DI39" s="55"/>
      <c r="DJ39" s="55"/>
      <c r="DK39" s="87" t="str">
        <f>IF($E$3&lt;160000,IF($B$7=1,DK$32*1.02,"False"))</f>
        <v>False</v>
      </c>
      <c r="DL39" s="87"/>
      <c r="DM39" s="87"/>
      <c r="DN39" s="41"/>
      <c r="DO39" s="87"/>
      <c r="DQ39" s="55"/>
      <c r="DR39" s="55"/>
      <c r="DS39" s="55"/>
      <c r="DT39" s="55"/>
      <c r="DU39" s="87" t="str">
        <f>IF($E$3&lt;160000,IF($B$7=1,DU$32*1.02,"False"))</f>
        <v>False</v>
      </c>
      <c r="DV39" s="87"/>
      <c r="DW39" s="87"/>
      <c r="DX39" s="41"/>
      <c r="DY39" s="87"/>
      <c r="EA39" s="55"/>
      <c r="EB39" s="55"/>
      <c r="EC39" s="55"/>
      <c r="ED39" s="55"/>
      <c r="EE39" s="87" t="str">
        <f>IF($E$3&lt;160000,IF($B$7=1,EE$32*1.02,"False"))</f>
        <v>False</v>
      </c>
      <c r="EF39" s="87"/>
      <c r="EG39" s="87"/>
      <c r="EH39" s="41"/>
      <c r="EI39" s="87"/>
    </row>
    <row r="40" spans="1:139" x14ac:dyDescent="0.3">
      <c r="D40" s="55" t="s">
        <v>13</v>
      </c>
      <c r="E40" s="93">
        <f>B36*(E13/100)</f>
        <v>-46.326000000000001</v>
      </c>
      <c r="F40" s="41"/>
      <c r="G40" s="93">
        <f>B36*(G13/100)</f>
        <v>0</v>
      </c>
      <c r="H40" s="41"/>
      <c r="I40" s="93">
        <f>B36*(I13/100)</f>
        <v>0</v>
      </c>
      <c r="K40" s="55"/>
      <c r="L40" s="55"/>
      <c r="M40" s="55"/>
      <c r="N40" s="55" t="s">
        <v>13</v>
      </c>
      <c r="O40" s="93">
        <f>L36*(O13/100)</f>
        <v>-53.631</v>
      </c>
      <c r="P40" s="41"/>
      <c r="Q40" s="93">
        <f>L36*(Q13/100)</f>
        <v>0</v>
      </c>
      <c r="R40" s="41"/>
      <c r="S40" s="93">
        <f>L36*(S13/100)</f>
        <v>0</v>
      </c>
      <c r="U40" s="55"/>
      <c r="V40" s="55"/>
      <c r="W40" s="55"/>
      <c r="X40" s="55" t="s">
        <v>13</v>
      </c>
      <c r="Y40" s="93">
        <f>V36*(Y13/100)</f>
        <v>-44.643000000000008</v>
      </c>
      <c r="Z40" s="41"/>
      <c r="AA40" s="93">
        <f>V36*(AA13/100)</f>
        <v>0</v>
      </c>
      <c r="AB40" s="41"/>
      <c r="AC40" s="93">
        <f>V36*(AC13/100)</f>
        <v>0</v>
      </c>
      <c r="AE40" s="55"/>
      <c r="AF40" s="55"/>
      <c r="AG40" s="55"/>
      <c r="AH40" s="55" t="s">
        <v>13</v>
      </c>
      <c r="AI40" s="93">
        <f>AF36*(AI13/100)</f>
        <v>-45.458999999999996</v>
      </c>
      <c r="AJ40" s="93"/>
      <c r="AK40" s="93">
        <f>AF36*(AK13/100)</f>
        <v>0</v>
      </c>
      <c r="AL40" s="41"/>
      <c r="AM40" s="93">
        <f>AF36*(AM13/100)</f>
        <v>0</v>
      </c>
      <c r="AO40" s="55"/>
      <c r="AP40" s="55"/>
      <c r="AQ40" s="55"/>
      <c r="AR40" s="55" t="s">
        <v>13</v>
      </c>
      <c r="AS40" s="93">
        <f>AP36*(AS13/100)</f>
        <v>-45.291000000000004</v>
      </c>
      <c r="AT40" s="93"/>
      <c r="AU40" s="93">
        <f>AP36*(AU13/100)</f>
        <v>0</v>
      </c>
      <c r="AV40" s="41"/>
      <c r="AW40" s="93">
        <f>AP36*(AW13/100)</f>
        <v>0</v>
      </c>
      <c r="AY40" s="55"/>
      <c r="AZ40" s="55"/>
      <c r="BA40" s="55"/>
      <c r="BB40" s="55" t="s">
        <v>13</v>
      </c>
      <c r="BC40" s="93">
        <f>AZ36*(BC13/100)</f>
        <v>-60.285000000000004</v>
      </c>
      <c r="BD40" s="93"/>
      <c r="BE40" s="93">
        <f>AZ36*(BE13/100)</f>
        <v>0</v>
      </c>
      <c r="BF40" s="41"/>
      <c r="BG40" s="93">
        <f>AZ36*(BG13/100)</f>
        <v>0</v>
      </c>
      <c r="BI40" s="55"/>
      <c r="BJ40" s="55"/>
      <c r="BK40" s="55"/>
      <c r="BL40" s="55" t="s">
        <v>13</v>
      </c>
      <c r="BM40" s="93">
        <f>BJ36*(BM13/100)</f>
        <v>-78.212999999999994</v>
      </c>
      <c r="BN40" s="93"/>
      <c r="BO40" s="93">
        <f>BJ36*(BO13/100)</f>
        <v>0</v>
      </c>
      <c r="BP40" s="41"/>
      <c r="BQ40" s="93">
        <f>BJ36*(BQ13/100)</f>
        <v>0</v>
      </c>
      <c r="BS40" s="55"/>
      <c r="BT40" s="55"/>
      <c r="BU40" s="55"/>
      <c r="BV40" s="55" t="s">
        <v>13</v>
      </c>
      <c r="BW40" s="93">
        <f>BT36*(BW13/100)</f>
        <v>-80.532000000000011</v>
      </c>
      <c r="BX40" s="93"/>
      <c r="BY40" s="93">
        <f>BT36*(BY13/100)</f>
        <v>0</v>
      </c>
      <c r="BZ40" s="41"/>
      <c r="CA40" s="93">
        <f>BT36*(CA13/100)</f>
        <v>0</v>
      </c>
      <c r="CC40" s="55"/>
      <c r="CD40" s="55"/>
      <c r="CE40" s="55"/>
      <c r="CF40" s="55" t="s">
        <v>13</v>
      </c>
      <c r="CG40" s="93">
        <f>CD36*(CG13/100)</f>
        <v>-79.811999999999998</v>
      </c>
      <c r="CH40" s="93"/>
      <c r="CI40" s="93">
        <f>CD36*(CI13/100)</f>
        <v>0</v>
      </c>
      <c r="CJ40" s="41"/>
      <c r="CK40" s="93">
        <f>CD36*(CK13/100)</f>
        <v>0</v>
      </c>
      <c r="CM40" s="55"/>
      <c r="CN40" s="55"/>
      <c r="CO40" s="55"/>
      <c r="CP40" s="55" t="s">
        <v>13</v>
      </c>
      <c r="CQ40" s="93">
        <f>CN36*(CQ13/100)</f>
        <v>-79.760999999999996</v>
      </c>
      <c r="CR40" s="93"/>
      <c r="CS40" s="93">
        <f>CN36*(CS13/100)</f>
        <v>0</v>
      </c>
      <c r="CT40" s="41"/>
      <c r="CU40" s="93">
        <f>CN36*(CU13/100)</f>
        <v>0</v>
      </c>
      <c r="CW40" s="55"/>
      <c r="CX40" s="55"/>
      <c r="CY40" s="55"/>
      <c r="CZ40" s="55" t="s">
        <v>13</v>
      </c>
      <c r="DA40" s="93">
        <f>CX36*(DA13/100)</f>
        <v>-97.611000000000004</v>
      </c>
      <c r="DB40" s="93"/>
      <c r="DC40" s="93">
        <f>CX36*(DC13/100)</f>
        <v>0</v>
      </c>
      <c r="DD40" s="41"/>
      <c r="DE40" s="93">
        <f>CX36*(DE13/100)</f>
        <v>0</v>
      </c>
      <c r="DG40" s="55"/>
      <c r="DH40" s="55"/>
      <c r="DI40" s="55"/>
      <c r="DJ40" s="55" t="s">
        <v>13</v>
      </c>
      <c r="DK40" s="93">
        <f>DH36*(DK13/100)</f>
        <v>-106.968</v>
      </c>
      <c r="DL40" s="93"/>
      <c r="DM40" s="93">
        <f>DH36*(DM13/100)</f>
        <v>0</v>
      </c>
      <c r="DN40" s="41"/>
      <c r="DO40" s="93">
        <f>DH36*(DO13/100)</f>
        <v>0</v>
      </c>
      <c r="DQ40" s="55"/>
      <c r="DR40" s="55"/>
      <c r="DS40" s="55"/>
      <c r="DT40" s="55" t="s">
        <v>13</v>
      </c>
      <c r="DU40" s="93">
        <f>DR36*(DU13/100)</f>
        <v>-106.773</v>
      </c>
      <c r="DV40" s="93"/>
      <c r="DW40" s="93">
        <f>DR36*(DW13/100)</f>
        <v>0</v>
      </c>
      <c r="DX40" s="41"/>
      <c r="DY40" s="93">
        <f>DR36*(DY13/100)</f>
        <v>0</v>
      </c>
      <c r="EA40" s="55"/>
      <c r="EB40" s="55"/>
      <c r="EC40" s="55"/>
      <c r="ED40" s="55" t="s">
        <v>13</v>
      </c>
      <c r="EE40" s="93">
        <f>EB36*(EE13/100)</f>
        <v>-72.444000000000003</v>
      </c>
      <c r="EF40" s="93"/>
      <c r="EG40" s="93">
        <f>EB36*(EG13/100)</f>
        <v>0</v>
      </c>
      <c r="EH40" s="41"/>
      <c r="EI40" s="93">
        <f>EB36*(EI13/100)</f>
        <v>0</v>
      </c>
    </row>
    <row r="41" spans="1:139" x14ac:dyDescent="0.3">
      <c r="D41" s="55"/>
      <c r="E41" s="41"/>
      <c r="F41" s="41"/>
      <c r="G41" s="41"/>
      <c r="H41" s="41"/>
      <c r="I41" s="41"/>
      <c r="K41" s="55"/>
      <c r="L41" s="55"/>
      <c r="M41" s="55"/>
      <c r="N41" s="55" t="s">
        <v>17</v>
      </c>
      <c r="O41" s="41"/>
      <c r="P41" s="41"/>
      <c r="Q41" s="41"/>
      <c r="R41" s="41"/>
      <c r="S41" s="41"/>
      <c r="U41" s="55"/>
      <c r="V41" s="55"/>
      <c r="W41" s="55"/>
      <c r="X41" s="55" t="s">
        <v>17</v>
      </c>
      <c r="Y41" s="41"/>
      <c r="Z41" s="41"/>
      <c r="AA41" s="41"/>
      <c r="AB41" s="41"/>
      <c r="AC41" s="41"/>
      <c r="AE41" s="55"/>
      <c r="AF41" s="55"/>
      <c r="AG41" s="55"/>
      <c r="AH41" s="55" t="s">
        <v>17</v>
      </c>
      <c r="AI41" s="41"/>
      <c r="AJ41" s="41"/>
      <c r="AK41" s="41"/>
      <c r="AL41" s="41"/>
      <c r="AM41" s="41"/>
      <c r="AO41" s="55"/>
      <c r="AP41" s="55"/>
      <c r="AQ41" s="55"/>
      <c r="AR41" s="55" t="s">
        <v>17</v>
      </c>
      <c r="AS41" s="41"/>
      <c r="AT41" s="41"/>
      <c r="AU41" s="41"/>
      <c r="AV41" s="41"/>
      <c r="AW41" s="41"/>
      <c r="AY41" s="55"/>
      <c r="AZ41" s="55"/>
      <c r="BA41" s="55"/>
      <c r="BB41" s="55" t="s">
        <v>17</v>
      </c>
      <c r="BC41" s="41"/>
      <c r="BD41" s="41"/>
      <c r="BE41" s="41"/>
      <c r="BF41" s="41"/>
      <c r="BG41" s="41"/>
      <c r="BI41" s="55"/>
      <c r="BJ41" s="55"/>
      <c r="BK41" s="55"/>
      <c r="BL41" s="55" t="s">
        <v>17</v>
      </c>
      <c r="BM41" s="41"/>
      <c r="BN41" s="41"/>
      <c r="BO41" s="41"/>
      <c r="BP41" s="41"/>
      <c r="BQ41" s="41"/>
      <c r="BS41" s="55"/>
      <c r="BT41" s="55"/>
      <c r="BU41" s="55"/>
      <c r="BV41" s="55" t="s">
        <v>17</v>
      </c>
      <c r="BW41" s="41"/>
      <c r="BX41" s="41"/>
      <c r="BY41" s="41"/>
      <c r="BZ41" s="41"/>
      <c r="CA41" s="41"/>
      <c r="CC41" s="55"/>
      <c r="CD41" s="55"/>
      <c r="CE41" s="55"/>
      <c r="CF41" s="55" t="s">
        <v>17</v>
      </c>
      <c r="CG41" s="41"/>
      <c r="CH41" s="41"/>
      <c r="CI41" s="41"/>
      <c r="CJ41" s="41"/>
      <c r="CK41" s="41"/>
      <c r="CM41" s="55"/>
      <c r="CN41" s="55"/>
      <c r="CO41" s="55"/>
      <c r="CP41" s="55" t="s">
        <v>17</v>
      </c>
      <c r="CQ41" s="41"/>
      <c r="CR41" s="41"/>
      <c r="CS41" s="41"/>
      <c r="CT41" s="41"/>
      <c r="CU41" s="41"/>
      <c r="CW41" s="55"/>
      <c r="CX41" s="55"/>
      <c r="CY41" s="55"/>
      <c r="CZ41" s="55" t="s">
        <v>17</v>
      </c>
      <c r="DA41" s="41"/>
      <c r="DB41" s="41"/>
      <c r="DC41" s="41"/>
      <c r="DD41" s="41"/>
      <c r="DE41" s="41"/>
      <c r="DG41" s="55"/>
      <c r="DH41" s="55"/>
      <c r="DI41" s="55"/>
      <c r="DJ41" s="55" t="s">
        <v>17</v>
      </c>
      <c r="DK41" s="41"/>
      <c r="DL41" s="41"/>
      <c r="DM41" s="41"/>
      <c r="DN41" s="41"/>
      <c r="DO41" s="41"/>
      <c r="DQ41" s="55"/>
      <c r="DR41" s="55"/>
      <c r="DS41" s="55"/>
      <c r="DT41" s="55" t="s">
        <v>17</v>
      </c>
      <c r="DU41" s="41"/>
      <c r="DV41" s="41"/>
      <c r="DW41" s="41"/>
      <c r="DX41" s="41"/>
      <c r="DY41" s="41"/>
      <c r="EA41" s="55"/>
      <c r="EB41" s="55"/>
      <c r="EC41" s="55"/>
      <c r="ED41" s="55" t="s">
        <v>17</v>
      </c>
      <c r="EE41" s="41"/>
      <c r="EF41" s="41"/>
      <c r="EG41" s="41"/>
      <c r="EH41" s="41"/>
      <c r="EI41" s="41"/>
    </row>
    <row r="42" spans="1:139" s="55" customFormat="1" x14ac:dyDescent="0.3">
      <c r="D42" s="55" t="s">
        <v>17</v>
      </c>
      <c r="E42" s="41">
        <f>MIN(E38:E40)</f>
        <v>-46.326000000000001</v>
      </c>
      <c r="F42" s="41"/>
      <c r="G42" s="41">
        <f>MIN(G38:G40)</f>
        <v>0</v>
      </c>
      <c r="H42" s="41"/>
      <c r="I42" s="41">
        <f>MIN(I38:I40)</f>
        <v>0</v>
      </c>
      <c r="O42" s="41">
        <f>MIN(O38:O40)</f>
        <v>-53.631</v>
      </c>
      <c r="P42" s="41"/>
      <c r="Q42" s="41">
        <f>MIN(Q38:Q40)</f>
        <v>0</v>
      </c>
      <c r="R42" s="41"/>
      <c r="S42" s="41">
        <f>MIN(S38:S40)</f>
        <v>0</v>
      </c>
      <c r="Y42" s="41">
        <f>MIN(Y38:Y40)</f>
        <v>-44.643000000000008</v>
      </c>
      <c r="Z42" s="41"/>
      <c r="AA42" s="41">
        <f>MIN(AA38:AA40)</f>
        <v>0</v>
      </c>
      <c r="AB42" s="41"/>
      <c r="AC42" s="41">
        <f>MIN(AC38:AC40)</f>
        <v>0</v>
      </c>
      <c r="AI42" s="41">
        <f>MIN(AI38:AI40)</f>
        <v>-45.458999999999996</v>
      </c>
      <c r="AJ42" s="41"/>
      <c r="AK42" s="41">
        <f>MIN(AK38:AK40)</f>
        <v>0</v>
      </c>
      <c r="AL42" s="41"/>
      <c r="AM42" s="41">
        <f>MIN(AM38:AM40)</f>
        <v>0</v>
      </c>
      <c r="AS42" s="41">
        <f>MIN(AS38:AS40)</f>
        <v>-45.291000000000004</v>
      </c>
      <c r="AT42" s="41"/>
      <c r="AU42" s="41">
        <f>MIN(AU38:AU40)</f>
        <v>0</v>
      </c>
      <c r="AV42" s="41"/>
      <c r="AW42" s="41">
        <f>MIN(AW38:AW40)</f>
        <v>0</v>
      </c>
      <c r="BC42" s="41">
        <f>MIN(BC38:BC40)</f>
        <v>-60.285000000000004</v>
      </c>
      <c r="BD42" s="41"/>
      <c r="BE42" s="41">
        <f>MIN(BE38:BE40)</f>
        <v>0</v>
      </c>
      <c r="BF42" s="41"/>
      <c r="BG42" s="41">
        <f>MIN(BG38:BG40)</f>
        <v>0</v>
      </c>
      <c r="BM42" s="41">
        <f>MIN(BM38:BM40)</f>
        <v>-78.212999999999994</v>
      </c>
      <c r="BN42" s="41"/>
      <c r="BO42" s="41">
        <f>MIN(BO38:BO40)</f>
        <v>0</v>
      </c>
      <c r="BP42" s="41"/>
      <c r="BQ42" s="41">
        <f>MIN(BQ38:BQ40)</f>
        <v>0</v>
      </c>
      <c r="BW42" s="41">
        <f>MIN(BW38:BW40)</f>
        <v>-80.532000000000011</v>
      </c>
      <c r="BX42" s="41"/>
      <c r="BY42" s="41">
        <f>MIN(BY38:BY40)</f>
        <v>0</v>
      </c>
      <c r="BZ42" s="41"/>
      <c r="CA42" s="41">
        <f>MIN(CA38:CA40)</f>
        <v>0</v>
      </c>
      <c r="CG42" s="41">
        <f>MIN(CG38:CG40)</f>
        <v>-79.811999999999998</v>
      </c>
      <c r="CH42" s="41"/>
      <c r="CI42" s="41">
        <f>MIN(CI38:CI40)</f>
        <v>0</v>
      </c>
      <c r="CJ42" s="41"/>
      <c r="CK42" s="41">
        <f>MIN(CK38:CK40)</f>
        <v>0</v>
      </c>
      <c r="CQ42" s="41">
        <f>MIN(CQ38:CQ40)</f>
        <v>-79.760999999999996</v>
      </c>
      <c r="CR42" s="41"/>
      <c r="CS42" s="41">
        <f>MIN(CS38:CS40)</f>
        <v>0</v>
      </c>
      <c r="CT42" s="41"/>
      <c r="CU42" s="41">
        <f>MIN(CU38:CU40)</f>
        <v>0</v>
      </c>
      <c r="DA42" s="41">
        <f>MIN(DA38:DA40)</f>
        <v>-97.611000000000004</v>
      </c>
      <c r="DB42" s="41"/>
      <c r="DC42" s="41">
        <f>MIN(DC38:DC40)</f>
        <v>0</v>
      </c>
      <c r="DD42" s="41"/>
      <c r="DE42" s="41">
        <f>MIN(DE38:DE40)</f>
        <v>0</v>
      </c>
      <c r="DK42" s="41">
        <f>MIN(DK38:DK40)</f>
        <v>-106.968</v>
      </c>
      <c r="DL42" s="41"/>
      <c r="DM42" s="41">
        <f>MIN(DM38:DM40)</f>
        <v>0</v>
      </c>
      <c r="DN42" s="41"/>
      <c r="DO42" s="41">
        <f>MIN(DO38:DO40)</f>
        <v>0</v>
      </c>
      <c r="DU42" s="41">
        <f>MIN(DU38:DU40)</f>
        <v>-106.773</v>
      </c>
      <c r="DV42" s="41"/>
      <c r="DW42" s="41">
        <f>MIN(DW38:DW40)</f>
        <v>0</v>
      </c>
      <c r="DX42" s="41"/>
      <c r="DY42" s="41">
        <f>MIN(DY38:DY40)</f>
        <v>0</v>
      </c>
      <c r="EE42" s="41">
        <f>MIN(EE38:EE40)</f>
        <v>-72.444000000000003</v>
      </c>
      <c r="EF42" s="41"/>
      <c r="EG42" s="41">
        <f>MIN(EG38:EG40)</f>
        <v>0</v>
      </c>
      <c r="EH42" s="41"/>
      <c r="EI42" s="41">
        <f>MIN(EI38:EI40)</f>
        <v>0</v>
      </c>
    </row>
    <row r="43" spans="1:139" x14ac:dyDescent="0.3">
      <c r="D43" s="24" t="s">
        <v>18</v>
      </c>
      <c r="E43" s="42">
        <f>E42-E22</f>
        <v>0.45900000000000318</v>
      </c>
      <c r="F43" s="42"/>
      <c r="G43" s="42">
        <f>G42-G22</f>
        <v>0</v>
      </c>
      <c r="H43" s="42"/>
      <c r="I43" s="42">
        <f>I42-I22</f>
        <v>0</v>
      </c>
      <c r="K43" s="55"/>
      <c r="L43" s="55"/>
      <c r="M43" s="55"/>
      <c r="N43" s="24" t="s">
        <v>18</v>
      </c>
      <c r="O43" s="42">
        <f>O42-O22</f>
        <v>0.45899999999999608</v>
      </c>
      <c r="P43" s="42"/>
      <c r="Q43" s="42">
        <f>Q42-Q22</f>
        <v>0</v>
      </c>
      <c r="R43" s="42"/>
      <c r="S43" s="42">
        <f>S42-S22</f>
        <v>0</v>
      </c>
      <c r="U43" s="55"/>
      <c r="V43" s="55"/>
      <c r="W43" s="55"/>
      <c r="X43" s="24" t="s">
        <v>18</v>
      </c>
      <c r="Y43" s="42">
        <f>Y42-Y22</f>
        <v>0.45899999999999608</v>
      </c>
      <c r="Z43" s="42"/>
      <c r="AA43" s="42">
        <f>AA42-AA22</f>
        <v>0</v>
      </c>
      <c r="AB43" s="42"/>
      <c r="AC43" s="42">
        <f>AC42-AC22</f>
        <v>0</v>
      </c>
      <c r="AE43" s="55"/>
      <c r="AF43" s="55"/>
      <c r="AG43" s="55"/>
      <c r="AH43" s="24" t="s">
        <v>18</v>
      </c>
      <c r="AI43" s="42">
        <f>AI42-AI22</f>
        <v>0.45900000000000318</v>
      </c>
      <c r="AJ43" s="42"/>
      <c r="AK43" s="42">
        <f>AK42-AK22</f>
        <v>0</v>
      </c>
      <c r="AL43" s="42"/>
      <c r="AM43" s="42">
        <f>AM42-AM22</f>
        <v>0</v>
      </c>
      <c r="AO43" s="55"/>
      <c r="AP43" s="55"/>
      <c r="AQ43" s="55"/>
      <c r="AR43" s="24" t="s">
        <v>18</v>
      </c>
      <c r="AS43" s="42">
        <f>AS42-AS22</f>
        <v>0.45899999999999608</v>
      </c>
      <c r="AT43" s="42"/>
      <c r="AU43" s="42">
        <f>AU42-AU22</f>
        <v>0</v>
      </c>
      <c r="AV43" s="42"/>
      <c r="AW43" s="42">
        <f>AW42-AW22</f>
        <v>0</v>
      </c>
      <c r="AY43" s="55"/>
      <c r="AZ43" s="55"/>
      <c r="BA43" s="55"/>
      <c r="BB43" s="24" t="s">
        <v>18</v>
      </c>
      <c r="BC43" s="42">
        <f>BC42-BC22</f>
        <v>0.45899999999999608</v>
      </c>
      <c r="BD43" s="42"/>
      <c r="BE43" s="42">
        <f>BE42-BE22</f>
        <v>0</v>
      </c>
      <c r="BF43" s="42"/>
      <c r="BG43" s="42">
        <f>BG42-BG22</f>
        <v>0</v>
      </c>
      <c r="BI43" s="55"/>
      <c r="BJ43" s="55"/>
      <c r="BK43" s="55"/>
      <c r="BL43" s="24" t="s">
        <v>18</v>
      </c>
      <c r="BM43" s="42">
        <f>BM42-BM22</f>
        <v>0.45900000000000318</v>
      </c>
      <c r="BN43" s="42"/>
      <c r="BO43" s="42">
        <f>BO42-BO22</f>
        <v>0</v>
      </c>
      <c r="BP43" s="42"/>
      <c r="BQ43" s="42">
        <f>BQ42-BQ22</f>
        <v>0</v>
      </c>
      <c r="BS43" s="55"/>
      <c r="BT43" s="55"/>
      <c r="BU43" s="55"/>
      <c r="BV43" s="24" t="s">
        <v>18</v>
      </c>
      <c r="BW43" s="42">
        <f>BW42-BW22</f>
        <v>0.45899999999998897</v>
      </c>
      <c r="BX43" s="42"/>
      <c r="BY43" s="42">
        <f>BY42-BY22</f>
        <v>0</v>
      </c>
      <c r="BZ43" s="42"/>
      <c r="CA43" s="42">
        <f>CA42-CA22</f>
        <v>0</v>
      </c>
      <c r="CC43" s="55"/>
      <c r="CD43" s="55"/>
      <c r="CE43" s="55"/>
      <c r="CF43" s="24" t="s">
        <v>18</v>
      </c>
      <c r="CG43" s="42">
        <f>CG42-CG22</f>
        <v>0.45900000000000318</v>
      </c>
      <c r="CH43" s="42"/>
      <c r="CI43" s="42">
        <f>CI42-CI22</f>
        <v>0</v>
      </c>
      <c r="CJ43" s="42"/>
      <c r="CK43" s="42">
        <f>CK42-CK22</f>
        <v>0</v>
      </c>
      <c r="CM43" s="55"/>
      <c r="CN43" s="55"/>
      <c r="CO43" s="55"/>
      <c r="CP43" s="24" t="s">
        <v>18</v>
      </c>
      <c r="CQ43" s="42">
        <f>CQ42-CQ22</f>
        <v>0.45900000000000318</v>
      </c>
      <c r="CR43" s="42"/>
      <c r="CS43" s="42">
        <f>CS42-CS22</f>
        <v>0</v>
      </c>
      <c r="CT43" s="42"/>
      <c r="CU43" s="42">
        <f>CU42-CU22</f>
        <v>0</v>
      </c>
      <c r="CW43" s="55"/>
      <c r="CX43" s="55"/>
      <c r="CY43" s="55"/>
      <c r="CZ43" s="24" t="s">
        <v>18</v>
      </c>
      <c r="DA43" s="42">
        <f>DA42-DA22</f>
        <v>0.45900000000000318</v>
      </c>
      <c r="DB43" s="42"/>
      <c r="DC43" s="42">
        <f>DC42-DC22</f>
        <v>0</v>
      </c>
      <c r="DD43" s="42"/>
      <c r="DE43" s="42">
        <f>DE42-DE22</f>
        <v>0</v>
      </c>
      <c r="DG43" s="55"/>
      <c r="DH43" s="55"/>
      <c r="DI43" s="55"/>
      <c r="DJ43" s="24" t="s">
        <v>18</v>
      </c>
      <c r="DK43" s="42">
        <f>DK42-DK22</f>
        <v>0.45900000000000318</v>
      </c>
      <c r="DL43" s="42"/>
      <c r="DM43" s="42">
        <f>DM42-DM22</f>
        <v>0</v>
      </c>
      <c r="DN43" s="42"/>
      <c r="DO43" s="42">
        <f>DO42-DO22</f>
        <v>0</v>
      </c>
      <c r="DQ43" s="55"/>
      <c r="DR43" s="55"/>
      <c r="DS43" s="55"/>
      <c r="DT43" s="24" t="s">
        <v>18</v>
      </c>
      <c r="DU43" s="42">
        <f>DU42-DU22</f>
        <v>0.45900000000000318</v>
      </c>
      <c r="DV43" s="42"/>
      <c r="DW43" s="42">
        <f>DW42-DW22</f>
        <v>0</v>
      </c>
      <c r="DX43" s="42"/>
      <c r="DY43" s="42">
        <f>DY42-DY22</f>
        <v>0</v>
      </c>
      <c r="EA43" s="55"/>
      <c r="EB43" s="55"/>
      <c r="EC43" s="55"/>
      <c r="ED43" s="24" t="s">
        <v>18</v>
      </c>
      <c r="EE43" s="42">
        <f>EE42-EE22</f>
        <v>0.45899999999998897</v>
      </c>
      <c r="EF43" s="42"/>
      <c r="EG43" s="42">
        <f>EG42-EG22</f>
        <v>0</v>
      </c>
      <c r="EH43" s="42"/>
      <c r="EI43" s="42">
        <f>EI42-EI22</f>
        <v>0</v>
      </c>
    </row>
    <row r="44" spans="1:139" s="55" customFormat="1" x14ac:dyDescent="0.3">
      <c r="D44" s="86"/>
      <c r="E44" s="87"/>
      <c r="F44" s="87"/>
      <c r="G44" s="87"/>
      <c r="H44" s="87"/>
      <c r="I44" s="87"/>
      <c r="N44" s="86"/>
      <c r="O44" s="87"/>
      <c r="P44" s="87"/>
      <c r="Q44" s="87"/>
      <c r="R44" s="87"/>
      <c r="S44" s="87"/>
      <c r="X44" s="86"/>
      <c r="Y44" s="87"/>
      <c r="Z44" s="87"/>
      <c r="AA44" s="87"/>
      <c r="AB44" s="87"/>
      <c r="AC44" s="87"/>
      <c r="AH44" s="86"/>
      <c r="AI44" s="87"/>
      <c r="AJ44" s="87"/>
      <c r="AK44" s="87"/>
      <c r="AL44" s="87"/>
      <c r="AM44" s="87"/>
      <c r="AR44" s="86"/>
      <c r="AS44" s="87"/>
      <c r="AT44" s="87"/>
      <c r="AU44" s="87"/>
      <c r="AV44" s="87"/>
      <c r="AW44" s="87"/>
      <c r="BB44" s="86"/>
      <c r="BC44" s="87"/>
      <c r="BD44" s="87"/>
      <c r="BE44" s="87"/>
      <c r="BF44" s="87"/>
      <c r="BG44" s="87"/>
      <c r="BL44" s="86"/>
      <c r="BM44" s="87"/>
      <c r="BN44" s="87"/>
      <c r="BO44" s="87"/>
      <c r="BP44" s="87"/>
      <c r="BQ44" s="87"/>
      <c r="BV44" s="86"/>
      <c r="BW44" s="87"/>
      <c r="BX44" s="87"/>
      <c r="BY44" s="87"/>
      <c r="BZ44" s="87"/>
      <c r="CA44" s="87"/>
      <c r="CF44" s="86"/>
      <c r="CG44" s="87"/>
      <c r="CH44" s="87"/>
      <c r="CI44" s="87"/>
      <c r="CJ44" s="87"/>
      <c r="CK44" s="87"/>
      <c r="CP44" s="86"/>
      <c r="CQ44" s="87"/>
      <c r="CR44" s="87"/>
      <c r="CS44" s="87"/>
      <c r="CT44" s="87"/>
      <c r="CU44" s="87"/>
      <c r="CZ44" s="86"/>
      <c r="DA44" s="87"/>
      <c r="DB44" s="87"/>
      <c r="DC44" s="87"/>
      <c r="DD44" s="87"/>
      <c r="DE44" s="87"/>
      <c r="DJ44" s="86"/>
      <c r="DK44" s="87"/>
      <c r="DL44" s="87"/>
      <c r="DM44" s="87"/>
      <c r="DN44" s="87"/>
      <c r="DO44" s="87"/>
      <c r="DT44" s="86"/>
      <c r="DU44" s="87"/>
      <c r="DV44" s="87"/>
      <c r="DW44" s="87"/>
      <c r="DX44" s="87"/>
      <c r="DY44" s="87"/>
      <c r="ED44" s="86"/>
      <c r="EE44" s="87"/>
      <c r="EF44" s="87"/>
      <c r="EG44" s="87"/>
      <c r="EH44" s="87"/>
      <c r="EI44" s="87"/>
    </row>
    <row r="45" spans="1:139" s="55" customFormat="1" x14ac:dyDescent="0.3">
      <c r="D45" s="86"/>
      <c r="E45" s="87"/>
      <c r="F45" s="87"/>
      <c r="G45" s="87"/>
      <c r="H45" s="87"/>
      <c r="I45" s="87"/>
      <c r="N45" s="86"/>
      <c r="O45" s="87"/>
      <c r="P45" s="87"/>
      <c r="Q45" s="87"/>
      <c r="R45" s="87"/>
      <c r="S45" s="87"/>
      <c r="X45" s="86"/>
      <c r="Y45" s="87"/>
      <c r="Z45" s="87"/>
      <c r="AA45" s="87"/>
      <c r="AB45" s="87"/>
      <c r="AC45" s="87"/>
      <c r="AH45" s="86"/>
      <c r="AI45" s="87"/>
      <c r="AJ45" s="87"/>
      <c r="AK45" s="87"/>
      <c r="AL45" s="87"/>
      <c r="AM45" s="87"/>
      <c r="AR45" s="86"/>
      <c r="AS45" s="87"/>
      <c r="AT45" s="87"/>
      <c r="AU45" s="87"/>
      <c r="AV45" s="87"/>
      <c r="AW45" s="87"/>
      <c r="BB45" s="86"/>
      <c r="BC45" s="87"/>
      <c r="BD45" s="87"/>
      <c r="BE45" s="87"/>
      <c r="BF45" s="87"/>
      <c r="BG45" s="87"/>
      <c r="BL45" s="86"/>
      <c r="BM45" s="87"/>
      <c r="BN45" s="87"/>
      <c r="BO45" s="87"/>
      <c r="BP45" s="87"/>
      <c r="BQ45" s="87"/>
      <c r="BV45" s="86"/>
      <c r="BW45" s="87"/>
      <c r="BX45" s="87"/>
      <c r="BY45" s="87"/>
      <c r="BZ45" s="87"/>
      <c r="CA45" s="87"/>
      <c r="CF45" s="86"/>
      <c r="CG45" s="87"/>
      <c r="CH45" s="87"/>
      <c r="CI45" s="87"/>
      <c r="CJ45" s="87"/>
      <c r="CK45" s="87"/>
      <c r="CP45" s="86"/>
      <c r="CQ45" s="87"/>
      <c r="CR45" s="87"/>
      <c r="CS45" s="87"/>
      <c r="CT45" s="87"/>
      <c r="CU45" s="87"/>
      <c r="CZ45" s="86"/>
      <c r="DA45" s="87"/>
      <c r="DB45" s="87"/>
      <c r="DC45" s="87"/>
      <c r="DD45" s="87"/>
      <c r="DE45" s="87"/>
      <c r="DJ45" s="86"/>
      <c r="DK45" s="87"/>
      <c r="DL45" s="87"/>
      <c r="DM45" s="87"/>
      <c r="DN45" s="87"/>
      <c r="DO45" s="87"/>
      <c r="DT45" s="86"/>
      <c r="DU45" s="87"/>
      <c r="DV45" s="87"/>
      <c r="DW45" s="87"/>
      <c r="DX45" s="87"/>
      <c r="DY45" s="87"/>
      <c r="ED45" s="86"/>
      <c r="EE45" s="87"/>
      <c r="EF45" s="87"/>
      <c r="EG45" s="87"/>
      <c r="EH45" s="87"/>
      <c r="EI45" s="87"/>
    </row>
    <row r="46" spans="1:139" x14ac:dyDescent="0.3">
      <c r="K46" s="55"/>
      <c r="L46" s="55"/>
      <c r="M46" s="55"/>
      <c r="N46" s="55"/>
      <c r="O46" s="55"/>
      <c r="P46" s="55"/>
      <c r="S46" s="55"/>
      <c r="U46" s="55"/>
      <c r="V46" s="55"/>
      <c r="W46" s="55"/>
      <c r="X46" s="55"/>
      <c r="Y46" s="55"/>
      <c r="Z46" s="55"/>
      <c r="AC46" s="55"/>
      <c r="AE46" s="55"/>
      <c r="AF46" s="55"/>
      <c r="AG46" s="55"/>
      <c r="AH46" s="55"/>
      <c r="AI46" s="55"/>
      <c r="AL46" s="55"/>
      <c r="AM46" s="55"/>
      <c r="AO46" s="55"/>
      <c r="AP46" s="55"/>
      <c r="AQ46" s="55"/>
      <c r="AR46" s="55"/>
      <c r="AS46" s="55"/>
      <c r="AV46" s="55"/>
      <c r="AW46" s="55"/>
      <c r="AY46" s="55"/>
      <c r="AZ46" s="55"/>
      <c r="BA46" s="55"/>
      <c r="BB46" s="55"/>
      <c r="BC46" s="55"/>
      <c r="BF46" s="55"/>
      <c r="BG46" s="55"/>
      <c r="BI46" s="55"/>
      <c r="BJ46" s="55"/>
      <c r="BK46" s="55"/>
      <c r="BL46" s="55"/>
      <c r="BM46" s="55"/>
      <c r="BP46" s="55"/>
      <c r="BQ46" s="55"/>
      <c r="BS46" s="55"/>
      <c r="BT46" s="55"/>
      <c r="BU46" s="55"/>
      <c r="BV46" s="55"/>
      <c r="BW46" s="55"/>
      <c r="BZ46" s="55"/>
      <c r="CA46" s="55"/>
      <c r="CC46" s="55"/>
      <c r="CD46" s="55"/>
      <c r="CE46" s="55"/>
      <c r="CF46" s="55"/>
      <c r="CG46" s="55"/>
      <c r="CJ46" s="55"/>
      <c r="CK46" s="55"/>
      <c r="CM46" s="55"/>
      <c r="CN46" s="55"/>
      <c r="CO46" s="55"/>
      <c r="CP46" s="55"/>
      <c r="CQ46" s="55"/>
      <c r="CT46" s="55"/>
      <c r="CU46" s="55"/>
      <c r="CW46" s="55"/>
      <c r="CX46" s="55"/>
      <c r="CY46" s="55"/>
      <c r="CZ46" s="55"/>
      <c r="DA46" s="55"/>
      <c r="DD46" s="55"/>
      <c r="DE46" s="55"/>
      <c r="DG46" s="55"/>
      <c r="DH46" s="55"/>
      <c r="DI46" s="55"/>
      <c r="DJ46" s="55"/>
      <c r="DK46" s="55"/>
      <c r="DN46" s="55"/>
      <c r="DO46" s="55"/>
      <c r="DQ46" s="55"/>
      <c r="DR46" s="55"/>
      <c r="DS46" s="55"/>
      <c r="DT46" s="55"/>
      <c r="DU46" s="55"/>
      <c r="DX46" s="55"/>
      <c r="DY46" s="55"/>
      <c r="EA46" s="55"/>
      <c r="EB46" s="55"/>
      <c r="EC46" s="55"/>
      <c r="ED46" s="55"/>
      <c r="EE46" s="55"/>
      <c r="EH46" s="55"/>
      <c r="EI46" s="55"/>
    </row>
    <row r="47" spans="1:139" x14ac:dyDescent="0.3">
      <c r="A47" s="8">
        <v>2022</v>
      </c>
      <c r="B47" s="55"/>
      <c r="C47" s="55"/>
      <c r="D47" s="8">
        <f>A47</f>
        <v>2022</v>
      </c>
      <c r="E47" s="41"/>
      <c r="F47" s="41"/>
      <c r="G47" s="41"/>
      <c r="H47" s="41"/>
      <c r="I47" s="41"/>
      <c r="K47" s="8">
        <v>2022</v>
      </c>
      <c r="L47" s="55"/>
      <c r="M47" s="55"/>
      <c r="N47" s="8">
        <f>K47</f>
        <v>2022</v>
      </c>
      <c r="O47" s="41"/>
      <c r="P47" s="41"/>
      <c r="Q47" s="41"/>
      <c r="R47" s="41"/>
      <c r="S47" s="41"/>
      <c r="U47" s="8">
        <v>2022</v>
      </c>
      <c r="V47" s="55"/>
      <c r="W47" s="55"/>
      <c r="X47" s="8">
        <f>U47</f>
        <v>2022</v>
      </c>
      <c r="Y47" s="41"/>
      <c r="Z47" s="41"/>
      <c r="AA47" s="41"/>
      <c r="AB47" s="41"/>
      <c r="AC47" s="41"/>
      <c r="AE47" s="8">
        <v>2022</v>
      </c>
      <c r="AF47" s="55"/>
      <c r="AG47" s="55"/>
      <c r="AH47" s="8">
        <f>AE47</f>
        <v>2022</v>
      </c>
      <c r="AI47" s="41"/>
      <c r="AJ47" s="41"/>
      <c r="AK47" s="41"/>
      <c r="AL47" s="41"/>
      <c r="AM47" s="41"/>
      <c r="AO47" s="8">
        <v>2022</v>
      </c>
      <c r="AP47" s="55"/>
      <c r="AQ47" s="55"/>
      <c r="AR47" s="8">
        <f>AO47</f>
        <v>2022</v>
      </c>
      <c r="AS47" s="41"/>
      <c r="AT47" s="41"/>
      <c r="AU47" s="41"/>
      <c r="AV47" s="41"/>
      <c r="AW47" s="41"/>
      <c r="AY47" s="8">
        <v>2022</v>
      </c>
      <c r="AZ47" s="55"/>
      <c r="BA47" s="55"/>
      <c r="BB47" s="8">
        <f>AY47</f>
        <v>2022</v>
      </c>
      <c r="BC47" s="41"/>
      <c r="BD47" s="41"/>
      <c r="BE47" s="41"/>
      <c r="BF47" s="41"/>
      <c r="BG47" s="41"/>
      <c r="BI47" s="8">
        <v>2022</v>
      </c>
      <c r="BJ47" s="55"/>
      <c r="BK47" s="55"/>
      <c r="BL47" s="8">
        <f>BI47</f>
        <v>2022</v>
      </c>
      <c r="BM47" s="41"/>
      <c r="BN47" s="41"/>
      <c r="BO47" s="41"/>
      <c r="BP47" s="41"/>
      <c r="BQ47" s="41"/>
      <c r="BS47" s="8">
        <v>2022</v>
      </c>
      <c r="BT47" s="55"/>
      <c r="BU47" s="55"/>
      <c r="BV47" s="8">
        <f>BS47</f>
        <v>2022</v>
      </c>
      <c r="BW47" s="41"/>
      <c r="BX47" s="41"/>
      <c r="BY47" s="41"/>
      <c r="BZ47" s="41"/>
      <c r="CA47" s="41"/>
      <c r="CC47" s="8">
        <v>2022</v>
      </c>
      <c r="CD47" s="55"/>
      <c r="CE47" s="55"/>
      <c r="CF47" s="8">
        <f>CC47</f>
        <v>2022</v>
      </c>
      <c r="CG47" s="41"/>
      <c r="CH47" s="41"/>
      <c r="CI47" s="41"/>
      <c r="CJ47" s="41"/>
      <c r="CK47" s="41"/>
      <c r="CM47" s="8">
        <v>2022</v>
      </c>
      <c r="CN47" s="55"/>
      <c r="CO47" s="55"/>
      <c r="CP47" s="8">
        <f>CM47</f>
        <v>2022</v>
      </c>
      <c r="CQ47" s="41"/>
      <c r="CR47" s="41"/>
      <c r="CS47" s="41"/>
      <c r="CT47" s="41"/>
      <c r="CU47" s="41"/>
      <c r="CW47" s="8">
        <v>2022</v>
      </c>
      <c r="CX47" s="55"/>
      <c r="CY47" s="55"/>
      <c r="CZ47" s="8">
        <f>CW47</f>
        <v>2022</v>
      </c>
      <c r="DA47" s="41"/>
      <c r="DB47" s="41"/>
      <c r="DC47" s="41"/>
      <c r="DD47" s="41"/>
      <c r="DE47" s="41"/>
      <c r="DG47" s="8">
        <v>2022</v>
      </c>
      <c r="DH47" s="55"/>
      <c r="DI47" s="55"/>
      <c r="DJ47" s="8">
        <f>DG47</f>
        <v>2022</v>
      </c>
      <c r="DK47" s="41"/>
      <c r="DL47" s="41"/>
      <c r="DM47" s="41"/>
      <c r="DN47" s="41"/>
      <c r="DO47" s="41"/>
      <c r="DQ47" s="8">
        <v>2022</v>
      </c>
      <c r="DR47" s="55"/>
      <c r="DS47" s="55"/>
      <c r="DT47" s="8">
        <f>DQ47</f>
        <v>2022</v>
      </c>
      <c r="DU47" s="41"/>
      <c r="DV47" s="41"/>
      <c r="DW47" s="41"/>
      <c r="DX47" s="41"/>
      <c r="DY47" s="41"/>
      <c r="EA47" s="8">
        <v>2022</v>
      </c>
      <c r="EB47" s="55"/>
      <c r="EC47" s="55"/>
      <c r="ED47" s="8">
        <f>EA47</f>
        <v>2022</v>
      </c>
      <c r="EE47" s="41"/>
      <c r="EF47" s="41"/>
      <c r="EG47" s="41"/>
      <c r="EH47" s="41"/>
      <c r="EI47" s="41"/>
    </row>
    <row r="48" spans="1:139" x14ac:dyDescent="0.3">
      <c r="A48" s="55" t="s">
        <v>10</v>
      </c>
      <c r="B48" s="3">
        <f>B$16</f>
        <v>1.5442</v>
      </c>
      <c r="C48" s="55"/>
      <c r="D48" s="55" t="s">
        <v>12</v>
      </c>
      <c r="E48" s="41">
        <f>E$3*0.01</f>
        <v>0</v>
      </c>
      <c r="F48" s="41"/>
      <c r="G48" s="41">
        <f>G$3*0.02</f>
        <v>0</v>
      </c>
      <c r="H48" s="41"/>
      <c r="I48" s="41">
        <f>I$3*0.03</f>
        <v>0</v>
      </c>
      <c r="K48" s="55" t="s">
        <v>10</v>
      </c>
      <c r="L48" s="3">
        <f>L$16</f>
        <v>1.7877000000000001</v>
      </c>
      <c r="M48" s="55"/>
      <c r="N48" s="55" t="s">
        <v>12</v>
      </c>
      <c r="O48" s="41">
        <f>O$3*0.01</f>
        <v>0</v>
      </c>
      <c r="P48" s="41"/>
      <c r="Q48" s="41">
        <f>Q$3*0.02</f>
        <v>0</v>
      </c>
      <c r="R48" s="41"/>
      <c r="S48" s="41">
        <f>S$3*0.03</f>
        <v>0</v>
      </c>
      <c r="U48" s="55" t="s">
        <v>10</v>
      </c>
      <c r="V48" s="3">
        <f>V$16</f>
        <v>1.4881000000000002</v>
      </c>
      <c r="W48" s="55"/>
      <c r="X48" s="55" t="s">
        <v>12</v>
      </c>
      <c r="Y48" s="41">
        <f>Y$3*0.01</f>
        <v>0</v>
      </c>
      <c r="Z48" s="41"/>
      <c r="AA48" s="41">
        <f>AA$3*0.02</f>
        <v>0</v>
      </c>
      <c r="AB48" s="41"/>
      <c r="AC48" s="41">
        <f>AC$3*0.03</f>
        <v>0</v>
      </c>
      <c r="AE48" s="55" t="s">
        <v>10</v>
      </c>
      <c r="AF48" s="3">
        <f>AF$16</f>
        <v>1.5152999999999999</v>
      </c>
      <c r="AG48" s="55"/>
      <c r="AH48" s="55" t="s">
        <v>12</v>
      </c>
      <c r="AI48" s="41">
        <f>AI$3*0.01</f>
        <v>0</v>
      </c>
      <c r="AJ48" s="41"/>
      <c r="AK48" s="41">
        <f>AK$3*0.02</f>
        <v>0</v>
      </c>
      <c r="AL48" s="41"/>
      <c r="AM48" s="41">
        <f>AM$3*0.03</f>
        <v>0</v>
      </c>
      <c r="AO48" s="55" t="s">
        <v>10</v>
      </c>
      <c r="AP48" s="3">
        <f>AP$16</f>
        <v>1.5097</v>
      </c>
      <c r="AQ48" s="55"/>
      <c r="AR48" s="55" t="s">
        <v>12</v>
      </c>
      <c r="AS48" s="41">
        <f>AS$3*0.01</f>
        <v>0</v>
      </c>
      <c r="AT48" s="41"/>
      <c r="AU48" s="41">
        <f>AU$3*0.02</f>
        <v>0</v>
      </c>
      <c r="AV48" s="41"/>
      <c r="AW48" s="41">
        <f>AW$3*0.03</f>
        <v>0</v>
      </c>
      <c r="AY48" s="55" t="s">
        <v>10</v>
      </c>
      <c r="AZ48" s="3">
        <f>AZ$16</f>
        <v>2.0095000000000001</v>
      </c>
      <c r="BA48" s="55"/>
      <c r="BB48" s="55" t="s">
        <v>12</v>
      </c>
      <c r="BC48" s="41">
        <f>BC$3*0.01</f>
        <v>0</v>
      </c>
      <c r="BD48" s="41"/>
      <c r="BE48" s="41">
        <f>BE$3*0.02</f>
        <v>0</v>
      </c>
      <c r="BF48" s="41"/>
      <c r="BG48" s="41">
        <f>BG$3*0.03</f>
        <v>0</v>
      </c>
      <c r="BI48" s="55" t="s">
        <v>10</v>
      </c>
      <c r="BJ48" s="3">
        <f>BJ$16</f>
        <v>2.6071</v>
      </c>
      <c r="BK48" s="55"/>
      <c r="BL48" s="55" t="s">
        <v>12</v>
      </c>
      <c r="BM48" s="41">
        <f>BM$3*0.01</f>
        <v>0</v>
      </c>
      <c r="BN48" s="41"/>
      <c r="BO48" s="41">
        <f>BO$3*0.02</f>
        <v>0</v>
      </c>
      <c r="BP48" s="41"/>
      <c r="BQ48" s="41">
        <f>BQ$3*0.03</f>
        <v>0</v>
      </c>
      <c r="BS48" s="55" t="s">
        <v>10</v>
      </c>
      <c r="BT48" s="3">
        <f>BT$16</f>
        <v>2.6844000000000001</v>
      </c>
      <c r="BU48" s="55"/>
      <c r="BV48" s="55" t="s">
        <v>12</v>
      </c>
      <c r="BW48" s="41">
        <f>BW$3*0.01</f>
        <v>0</v>
      </c>
      <c r="BX48" s="41"/>
      <c r="BY48" s="41">
        <f>BY$3*0.02</f>
        <v>0</v>
      </c>
      <c r="BZ48" s="41"/>
      <c r="CA48" s="41">
        <f>CA$3*0.03</f>
        <v>0</v>
      </c>
      <c r="CC48" s="55" t="s">
        <v>10</v>
      </c>
      <c r="CD48" s="3">
        <f>CD$16</f>
        <v>2.6604000000000001</v>
      </c>
      <c r="CE48" s="55"/>
      <c r="CF48" s="55" t="s">
        <v>12</v>
      </c>
      <c r="CG48" s="41">
        <f>CG$3*0.01</f>
        <v>0</v>
      </c>
      <c r="CH48" s="41"/>
      <c r="CI48" s="41">
        <f>CI$3*0.02</f>
        <v>0</v>
      </c>
      <c r="CJ48" s="41"/>
      <c r="CK48" s="41">
        <f>CK$3*0.03</f>
        <v>0</v>
      </c>
      <c r="CM48" s="55" t="s">
        <v>10</v>
      </c>
      <c r="CN48" s="3">
        <f>CN$16</f>
        <v>2.6587000000000001</v>
      </c>
      <c r="CO48" s="55"/>
      <c r="CP48" s="55" t="s">
        <v>12</v>
      </c>
      <c r="CQ48" s="41">
        <f>CQ$3*0.01</f>
        <v>0</v>
      </c>
      <c r="CR48" s="41"/>
      <c r="CS48" s="41">
        <f>CS$3*0.02</f>
        <v>0</v>
      </c>
      <c r="CT48" s="41"/>
      <c r="CU48" s="41">
        <f>CU$3*0.03</f>
        <v>0</v>
      </c>
      <c r="CW48" s="55" t="s">
        <v>10</v>
      </c>
      <c r="CX48" s="3">
        <f>CX$16</f>
        <v>3.2537000000000003</v>
      </c>
      <c r="CY48" s="55"/>
      <c r="CZ48" s="55" t="s">
        <v>12</v>
      </c>
      <c r="DA48" s="41">
        <f>DA$3*0.01</f>
        <v>0</v>
      </c>
      <c r="DB48" s="41"/>
      <c r="DC48" s="41">
        <f>DC$3*0.02</f>
        <v>0</v>
      </c>
      <c r="DD48" s="41"/>
      <c r="DE48" s="41">
        <f>DE$3*0.03</f>
        <v>0</v>
      </c>
      <c r="DG48" s="55" t="s">
        <v>10</v>
      </c>
      <c r="DH48" s="3">
        <f>DH$16</f>
        <v>3.5656000000000003</v>
      </c>
      <c r="DI48" s="55"/>
      <c r="DJ48" s="55" t="s">
        <v>12</v>
      </c>
      <c r="DK48" s="41">
        <f>DK$3*0.01</f>
        <v>0</v>
      </c>
      <c r="DL48" s="41"/>
      <c r="DM48" s="41">
        <f>DM$3*0.02</f>
        <v>0</v>
      </c>
      <c r="DN48" s="41"/>
      <c r="DO48" s="41">
        <f>DO$3*0.03</f>
        <v>0</v>
      </c>
      <c r="DQ48" s="55" t="s">
        <v>10</v>
      </c>
      <c r="DR48" s="3">
        <f>DR$16</f>
        <v>3.5590999999999999</v>
      </c>
      <c r="DS48" s="55"/>
      <c r="DT48" s="55" t="s">
        <v>12</v>
      </c>
      <c r="DU48" s="41">
        <f>DU$3*0.01</f>
        <v>0</v>
      </c>
      <c r="DV48" s="41"/>
      <c r="DW48" s="41">
        <f>DW$3*0.02</f>
        <v>0</v>
      </c>
      <c r="DX48" s="41"/>
      <c r="DY48" s="41">
        <f>DY$3*0.03</f>
        <v>0</v>
      </c>
      <c r="EA48" s="55" t="s">
        <v>10</v>
      </c>
      <c r="EB48" s="3">
        <f>EB$16</f>
        <v>2.4148000000000001</v>
      </c>
      <c r="EC48" s="55"/>
      <c r="ED48" s="55" t="s">
        <v>12</v>
      </c>
      <c r="EE48" s="41">
        <f>EE$3*0.01</f>
        <v>0</v>
      </c>
      <c r="EF48" s="41"/>
      <c r="EG48" s="41">
        <f>EG$3*0.02</f>
        <v>0</v>
      </c>
      <c r="EH48" s="41"/>
      <c r="EI48" s="41">
        <f>EI$3*0.03</f>
        <v>0</v>
      </c>
    </row>
    <row r="49" spans="1:139" x14ac:dyDescent="0.3">
      <c r="A49" s="55" t="s">
        <v>11</v>
      </c>
      <c r="B49" s="3">
        <v>8.2199999999999995E-2</v>
      </c>
      <c r="C49" s="55"/>
      <c r="D49" s="55" t="s">
        <v>15</v>
      </c>
      <c r="E49" s="41">
        <f>B49*E$13/100</f>
        <v>-2.4659999999999997</v>
      </c>
      <c r="F49" s="41"/>
      <c r="G49" s="41">
        <f>B49*G$13/100</f>
        <v>0</v>
      </c>
      <c r="H49" s="41"/>
      <c r="I49" s="41">
        <f>B49*I$13/100</f>
        <v>0</v>
      </c>
      <c r="K49" s="55" t="s">
        <v>11</v>
      </c>
      <c r="L49" s="3">
        <f>$B$49</f>
        <v>8.2199999999999995E-2</v>
      </c>
      <c r="M49" s="55"/>
      <c r="N49" s="55" t="s">
        <v>15</v>
      </c>
      <c r="O49" s="41">
        <f>L49*O$13/100</f>
        <v>-2.4659999999999997</v>
      </c>
      <c r="P49" s="41"/>
      <c r="Q49" s="41">
        <f>L49*Q$13/100</f>
        <v>0</v>
      </c>
      <c r="R49" s="41"/>
      <c r="S49" s="41">
        <f>L49*S$13/100</f>
        <v>0</v>
      </c>
      <c r="U49" s="55" t="s">
        <v>11</v>
      </c>
      <c r="V49" s="3">
        <f>$B$49</f>
        <v>8.2199999999999995E-2</v>
      </c>
      <c r="W49" s="55"/>
      <c r="X49" s="55" t="s">
        <v>15</v>
      </c>
      <c r="Y49" s="41">
        <f>V49*Y$13/100</f>
        <v>-2.4659999999999997</v>
      </c>
      <c r="Z49" s="41"/>
      <c r="AA49" s="41">
        <f>V49*AA$13/100</f>
        <v>0</v>
      </c>
      <c r="AB49" s="41"/>
      <c r="AC49" s="41">
        <f>V49*AC$13/100</f>
        <v>0</v>
      </c>
      <c r="AE49" s="55" t="s">
        <v>11</v>
      </c>
      <c r="AF49" s="3">
        <f>$B$49</f>
        <v>8.2199999999999995E-2</v>
      </c>
      <c r="AG49" s="55"/>
      <c r="AH49" s="55" t="s">
        <v>15</v>
      </c>
      <c r="AI49" s="41">
        <f>AF49*AI$13/100</f>
        <v>-2.4659999999999997</v>
      </c>
      <c r="AJ49" s="41"/>
      <c r="AK49" s="41">
        <f>AF49*AK$13/100</f>
        <v>0</v>
      </c>
      <c r="AL49" s="41"/>
      <c r="AM49" s="41">
        <f>AF49*AM$13/100</f>
        <v>0</v>
      </c>
      <c r="AO49" s="55" t="s">
        <v>11</v>
      </c>
      <c r="AP49" s="3">
        <f>$B$49</f>
        <v>8.2199999999999995E-2</v>
      </c>
      <c r="AQ49" s="55"/>
      <c r="AR49" s="55" t="s">
        <v>15</v>
      </c>
      <c r="AS49" s="41">
        <f>AP49*AS$13/100</f>
        <v>-2.4659999999999997</v>
      </c>
      <c r="AT49" s="41"/>
      <c r="AU49" s="41">
        <f>AP49*AU$13/100</f>
        <v>0</v>
      </c>
      <c r="AV49" s="41"/>
      <c r="AW49" s="41">
        <f>AP49*AW$13/100</f>
        <v>0</v>
      </c>
      <c r="AY49" s="55" t="s">
        <v>11</v>
      </c>
      <c r="AZ49" s="3">
        <f>$B$49</f>
        <v>8.2199999999999995E-2</v>
      </c>
      <c r="BA49" s="55"/>
      <c r="BB49" s="55" t="s">
        <v>15</v>
      </c>
      <c r="BC49" s="41">
        <f>AZ49*BC$13/100</f>
        <v>-2.4659999999999997</v>
      </c>
      <c r="BD49" s="41"/>
      <c r="BE49" s="41">
        <f>AZ49*BE$13/100</f>
        <v>0</v>
      </c>
      <c r="BF49" s="41"/>
      <c r="BG49" s="41">
        <f>AZ49*BG$13/100</f>
        <v>0</v>
      </c>
      <c r="BI49" s="55" t="s">
        <v>11</v>
      </c>
      <c r="BJ49" s="3">
        <f>$B$49</f>
        <v>8.2199999999999995E-2</v>
      </c>
      <c r="BK49" s="55"/>
      <c r="BL49" s="55" t="s">
        <v>15</v>
      </c>
      <c r="BM49" s="41">
        <f>BJ49*BM$13/100</f>
        <v>-2.4659999999999997</v>
      </c>
      <c r="BN49" s="41"/>
      <c r="BO49" s="41">
        <f>BJ49*BO$13/100</f>
        <v>0</v>
      </c>
      <c r="BP49" s="41"/>
      <c r="BQ49" s="41">
        <f>BJ49*BQ$13/100</f>
        <v>0</v>
      </c>
      <c r="BS49" s="55" t="s">
        <v>11</v>
      </c>
      <c r="BT49" s="3">
        <f>$B$49</f>
        <v>8.2199999999999995E-2</v>
      </c>
      <c r="BU49" s="55"/>
      <c r="BV49" s="55" t="s">
        <v>15</v>
      </c>
      <c r="BW49" s="41">
        <f>BT49*BW$13/100</f>
        <v>-2.4659999999999997</v>
      </c>
      <c r="BX49" s="41"/>
      <c r="BY49" s="41">
        <f>BT49*BY$13/100</f>
        <v>0</v>
      </c>
      <c r="BZ49" s="41"/>
      <c r="CA49" s="41">
        <f>BT49*CA$13/100</f>
        <v>0</v>
      </c>
      <c r="CC49" s="55" t="s">
        <v>11</v>
      </c>
      <c r="CD49" s="3">
        <f>$B$49</f>
        <v>8.2199999999999995E-2</v>
      </c>
      <c r="CE49" s="55"/>
      <c r="CF49" s="55" t="s">
        <v>15</v>
      </c>
      <c r="CG49" s="41">
        <f>CD49*CG$13/100</f>
        <v>-2.4659999999999997</v>
      </c>
      <c r="CH49" s="41"/>
      <c r="CI49" s="41">
        <f>CD49*CI$13/100</f>
        <v>0</v>
      </c>
      <c r="CJ49" s="41"/>
      <c r="CK49" s="41">
        <f>CD49*CK$13/100</f>
        <v>0</v>
      </c>
      <c r="CM49" s="55" t="s">
        <v>11</v>
      </c>
      <c r="CN49" s="3">
        <f>$B$49</f>
        <v>8.2199999999999995E-2</v>
      </c>
      <c r="CO49" s="55"/>
      <c r="CP49" s="55" t="s">
        <v>15</v>
      </c>
      <c r="CQ49" s="41">
        <f>CN49*CQ$13/100</f>
        <v>-2.4659999999999997</v>
      </c>
      <c r="CR49" s="41"/>
      <c r="CS49" s="41">
        <f>CN49*CS$13/100</f>
        <v>0</v>
      </c>
      <c r="CT49" s="41"/>
      <c r="CU49" s="41">
        <f>CN49*CU$13/100</f>
        <v>0</v>
      </c>
      <c r="CW49" s="55" t="s">
        <v>11</v>
      </c>
      <c r="CX49" s="3">
        <f>$B$49</f>
        <v>8.2199999999999995E-2</v>
      </c>
      <c r="CY49" s="55"/>
      <c r="CZ49" s="55" t="s">
        <v>15</v>
      </c>
      <c r="DA49" s="41">
        <f>CX49*DA$13/100</f>
        <v>-2.4659999999999997</v>
      </c>
      <c r="DB49" s="41"/>
      <c r="DC49" s="41">
        <f>CX49*DC$13/100</f>
        <v>0</v>
      </c>
      <c r="DD49" s="41"/>
      <c r="DE49" s="41">
        <f>CX49*DE$13/100</f>
        <v>0</v>
      </c>
      <c r="DG49" s="55" t="s">
        <v>11</v>
      </c>
      <c r="DH49" s="3">
        <f>$B$49</f>
        <v>8.2199999999999995E-2</v>
      </c>
      <c r="DI49" s="55"/>
      <c r="DJ49" s="55" t="s">
        <v>15</v>
      </c>
      <c r="DK49" s="41">
        <f>DH49*DK$13/100</f>
        <v>-2.4659999999999997</v>
      </c>
      <c r="DL49" s="41"/>
      <c r="DM49" s="41">
        <f>DH49*DM$13/100</f>
        <v>0</v>
      </c>
      <c r="DN49" s="41"/>
      <c r="DO49" s="41">
        <f>DH49*DO$13/100</f>
        <v>0</v>
      </c>
      <c r="DQ49" s="55" t="s">
        <v>11</v>
      </c>
      <c r="DR49" s="3">
        <f>$B$49</f>
        <v>8.2199999999999995E-2</v>
      </c>
      <c r="DS49" s="55"/>
      <c r="DT49" s="55" t="s">
        <v>15</v>
      </c>
      <c r="DU49" s="41">
        <f>DR49*DU$13/100</f>
        <v>-2.4659999999999997</v>
      </c>
      <c r="DV49" s="41"/>
      <c r="DW49" s="41">
        <f>DR49*DW$13/100</f>
        <v>0</v>
      </c>
      <c r="DX49" s="41"/>
      <c r="DY49" s="41">
        <f>DR49*DY$13/100</f>
        <v>0</v>
      </c>
      <c r="EA49" s="55" t="s">
        <v>11</v>
      </c>
      <c r="EB49" s="3">
        <f>$B$49</f>
        <v>8.2199999999999995E-2</v>
      </c>
      <c r="EC49" s="55"/>
      <c r="ED49" s="55" t="s">
        <v>15</v>
      </c>
      <c r="EE49" s="41">
        <f>EB49*EE$13/100</f>
        <v>-2.4659999999999997</v>
      </c>
      <c r="EF49" s="41"/>
      <c r="EG49" s="41">
        <f>EB49*EG$13/100</f>
        <v>0</v>
      </c>
      <c r="EH49" s="41"/>
      <c r="EI49" s="41">
        <f>EB49*EI$13/100</f>
        <v>0</v>
      </c>
    </row>
    <row r="50" spans="1:139" x14ac:dyDescent="0.3">
      <c r="A50" s="55" t="s">
        <v>14</v>
      </c>
      <c r="B50" s="3">
        <f>B48-B49</f>
        <v>1.462</v>
      </c>
      <c r="C50" s="55"/>
      <c r="D50" s="55" t="s">
        <v>71</v>
      </c>
      <c r="E50" s="41">
        <f>E48+E49</f>
        <v>-2.4659999999999997</v>
      </c>
      <c r="F50" s="41"/>
      <c r="G50" s="41">
        <f>G48+G49</f>
        <v>0</v>
      </c>
      <c r="H50" s="41"/>
      <c r="I50" s="41">
        <f>I48+I49</f>
        <v>0</v>
      </c>
      <c r="K50" s="55" t="s">
        <v>14</v>
      </c>
      <c r="L50" s="3">
        <f>L48-L49</f>
        <v>1.7055</v>
      </c>
      <c r="M50" s="55"/>
      <c r="N50" s="55" t="s">
        <v>16</v>
      </c>
      <c r="O50" s="41">
        <f>O48+O49</f>
        <v>-2.4659999999999997</v>
      </c>
      <c r="P50" s="41"/>
      <c r="Q50" s="41">
        <f>Q48+Q49</f>
        <v>0</v>
      </c>
      <c r="R50" s="41"/>
      <c r="S50" s="41">
        <f>S48+S49</f>
        <v>0</v>
      </c>
      <c r="U50" s="55" t="s">
        <v>14</v>
      </c>
      <c r="V50" s="3">
        <f>V48-V49</f>
        <v>1.4059000000000001</v>
      </c>
      <c r="W50" s="55"/>
      <c r="X50" s="55" t="s">
        <v>16</v>
      </c>
      <c r="Y50" s="41">
        <f>Y48+Y49</f>
        <v>-2.4659999999999997</v>
      </c>
      <c r="Z50" s="41"/>
      <c r="AA50" s="41">
        <f>AA48+AA49</f>
        <v>0</v>
      </c>
      <c r="AB50" s="41"/>
      <c r="AC50" s="41">
        <f>AC48+AC49</f>
        <v>0</v>
      </c>
      <c r="AE50" s="55" t="s">
        <v>14</v>
      </c>
      <c r="AF50" s="3">
        <f>AF48-AF49</f>
        <v>1.4330999999999998</v>
      </c>
      <c r="AG50" s="55"/>
      <c r="AH50" s="55" t="s">
        <v>16</v>
      </c>
      <c r="AI50" s="41">
        <f>AI48+AI49</f>
        <v>-2.4659999999999997</v>
      </c>
      <c r="AJ50" s="41"/>
      <c r="AK50" s="41">
        <f>AK48+AK49</f>
        <v>0</v>
      </c>
      <c r="AL50" s="41"/>
      <c r="AM50" s="41">
        <f>AM48+AM49</f>
        <v>0</v>
      </c>
      <c r="AO50" s="55" t="s">
        <v>14</v>
      </c>
      <c r="AP50" s="3">
        <f>AP48-AP49</f>
        <v>1.4275</v>
      </c>
      <c r="AQ50" s="55"/>
      <c r="AR50" s="55" t="s">
        <v>16</v>
      </c>
      <c r="AS50" s="41">
        <f>AS48+AS49</f>
        <v>-2.4659999999999997</v>
      </c>
      <c r="AT50" s="41"/>
      <c r="AU50" s="41">
        <f>AU48+AU49</f>
        <v>0</v>
      </c>
      <c r="AV50" s="41"/>
      <c r="AW50" s="41">
        <f>AW48+AW49</f>
        <v>0</v>
      </c>
      <c r="AY50" s="55" t="s">
        <v>14</v>
      </c>
      <c r="AZ50" s="3">
        <f>AZ48-AZ49</f>
        <v>1.9273</v>
      </c>
      <c r="BA50" s="55"/>
      <c r="BB50" s="55" t="s">
        <v>16</v>
      </c>
      <c r="BC50" s="41">
        <f>BC48+BC49</f>
        <v>-2.4659999999999997</v>
      </c>
      <c r="BD50" s="41"/>
      <c r="BE50" s="41">
        <f>BE48+BE49</f>
        <v>0</v>
      </c>
      <c r="BF50" s="41"/>
      <c r="BG50" s="41">
        <f>BG48+BG49</f>
        <v>0</v>
      </c>
      <c r="BI50" s="55" t="s">
        <v>14</v>
      </c>
      <c r="BJ50" s="3">
        <f>BJ48-BJ49</f>
        <v>2.5249000000000001</v>
      </c>
      <c r="BK50" s="55"/>
      <c r="BL50" s="55" t="s">
        <v>16</v>
      </c>
      <c r="BM50" s="41">
        <f>BM48+BM49</f>
        <v>-2.4659999999999997</v>
      </c>
      <c r="BN50" s="41"/>
      <c r="BO50" s="41">
        <f>BO48+BO49</f>
        <v>0</v>
      </c>
      <c r="BP50" s="41"/>
      <c r="BQ50" s="41">
        <f>BQ48+BQ49</f>
        <v>0</v>
      </c>
      <c r="BS50" s="55" t="s">
        <v>14</v>
      </c>
      <c r="BT50" s="3">
        <f>BT48-BT49</f>
        <v>2.6022000000000003</v>
      </c>
      <c r="BU50" s="55"/>
      <c r="BV50" s="55" t="s">
        <v>16</v>
      </c>
      <c r="BW50" s="41">
        <f>BW48+BW49</f>
        <v>-2.4659999999999997</v>
      </c>
      <c r="BX50" s="41"/>
      <c r="BY50" s="41">
        <f>BY48+BY49</f>
        <v>0</v>
      </c>
      <c r="BZ50" s="41"/>
      <c r="CA50" s="41">
        <f>CA48+CA49</f>
        <v>0</v>
      </c>
      <c r="CC50" s="55" t="s">
        <v>14</v>
      </c>
      <c r="CD50" s="3">
        <f>CD48-CD49</f>
        <v>2.5782000000000003</v>
      </c>
      <c r="CE50" s="55"/>
      <c r="CF50" s="55" t="s">
        <v>16</v>
      </c>
      <c r="CG50" s="41">
        <f>CG48+CG49</f>
        <v>-2.4659999999999997</v>
      </c>
      <c r="CH50" s="41"/>
      <c r="CI50" s="41">
        <f>CI48+CI49</f>
        <v>0</v>
      </c>
      <c r="CJ50" s="41"/>
      <c r="CK50" s="41">
        <f>CK48+CK49</f>
        <v>0</v>
      </c>
      <c r="CM50" s="55" t="s">
        <v>14</v>
      </c>
      <c r="CN50" s="3">
        <f>CN48-CN49</f>
        <v>2.5765000000000002</v>
      </c>
      <c r="CO50" s="55"/>
      <c r="CP50" s="55" t="s">
        <v>16</v>
      </c>
      <c r="CQ50" s="41">
        <f>CQ48+CQ49</f>
        <v>-2.4659999999999997</v>
      </c>
      <c r="CR50" s="41"/>
      <c r="CS50" s="41">
        <f>CS48+CS49</f>
        <v>0</v>
      </c>
      <c r="CT50" s="41"/>
      <c r="CU50" s="41">
        <f>CU48+CU49</f>
        <v>0</v>
      </c>
      <c r="CW50" s="55" t="s">
        <v>14</v>
      </c>
      <c r="CX50" s="3">
        <f>CX48-CX49</f>
        <v>3.1715000000000004</v>
      </c>
      <c r="CY50" s="55"/>
      <c r="CZ50" s="55" t="s">
        <v>16</v>
      </c>
      <c r="DA50" s="41">
        <f>DA48+DA49</f>
        <v>-2.4659999999999997</v>
      </c>
      <c r="DB50" s="41"/>
      <c r="DC50" s="41">
        <f>DC48+DC49</f>
        <v>0</v>
      </c>
      <c r="DD50" s="41"/>
      <c r="DE50" s="41">
        <f>DE48+DE49</f>
        <v>0</v>
      </c>
      <c r="DG50" s="55" t="s">
        <v>14</v>
      </c>
      <c r="DH50" s="3">
        <f>DH48-DH49</f>
        <v>3.4834000000000005</v>
      </c>
      <c r="DI50" s="55"/>
      <c r="DJ50" s="55" t="s">
        <v>16</v>
      </c>
      <c r="DK50" s="41">
        <f>DK48+DK49</f>
        <v>-2.4659999999999997</v>
      </c>
      <c r="DL50" s="41"/>
      <c r="DM50" s="41">
        <f>DM48+DM49</f>
        <v>0</v>
      </c>
      <c r="DN50" s="41"/>
      <c r="DO50" s="41">
        <f>DO48+DO49</f>
        <v>0</v>
      </c>
      <c r="DQ50" s="55" t="s">
        <v>14</v>
      </c>
      <c r="DR50" s="3">
        <f>DR48-DR49</f>
        <v>3.4769000000000001</v>
      </c>
      <c r="DS50" s="55"/>
      <c r="DT50" s="55" t="s">
        <v>16</v>
      </c>
      <c r="DU50" s="41">
        <f>DU48+DU49</f>
        <v>-2.4659999999999997</v>
      </c>
      <c r="DV50" s="41"/>
      <c r="DW50" s="41">
        <f>DW48+DW49</f>
        <v>0</v>
      </c>
      <c r="DX50" s="41"/>
      <c r="DY50" s="41">
        <f>DY48+DY49</f>
        <v>0</v>
      </c>
      <c r="EA50" s="55" t="s">
        <v>14</v>
      </c>
      <c r="EB50" s="3">
        <f>EB48-EB49</f>
        <v>2.3326000000000002</v>
      </c>
      <c r="EC50" s="55"/>
      <c r="ED50" s="55" t="s">
        <v>16</v>
      </c>
      <c r="EE50" s="41">
        <f>EE48+EE49</f>
        <v>-2.4659999999999997</v>
      </c>
      <c r="EF50" s="41"/>
      <c r="EG50" s="41">
        <f>EG48+EG49</f>
        <v>0</v>
      </c>
      <c r="EH50" s="41"/>
      <c r="EI50" s="41">
        <f>EI48+EI49</f>
        <v>0</v>
      </c>
    </row>
    <row r="51" spans="1:139" x14ac:dyDescent="0.3">
      <c r="A51" s="55"/>
      <c r="B51" s="55"/>
      <c r="C51" s="55"/>
      <c r="D51" s="55" t="s">
        <v>72</v>
      </c>
      <c r="E51" s="87" t="str">
        <f>IF($E$3&lt;160000,IF($B$7=1,E$42*1.02,"False"))</f>
        <v>False</v>
      </c>
      <c r="F51" s="41"/>
      <c r="G51" s="87"/>
      <c r="H51" s="41"/>
      <c r="I51" s="87"/>
      <c r="K51" s="55"/>
      <c r="L51" s="55"/>
      <c r="M51" s="55"/>
      <c r="N51" s="55"/>
      <c r="O51" s="87" t="str">
        <f>IF($E$3&lt;160000,IF($B$7=1,O$42*1.02,"False"))</f>
        <v>False</v>
      </c>
      <c r="P51" s="41"/>
      <c r="Q51" s="87"/>
      <c r="R51" s="41"/>
      <c r="S51" s="87"/>
      <c r="U51" s="55"/>
      <c r="V51" s="55"/>
      <c r="W51" s="55"/>
      <c r="X51" s="55"/>
      <c r="Y51" s="87" t="str">
        <f>IF($E$3&lt;160000,IF($B$7=1,Y$42*1.02,"False"))</f>
        <v>False</v>
      </c>
      <c r="Z51" s="41"/>
      <c r="AA51" s="87"/>
      <c r="AB51" s="41"/>
      <c r="AC51" s="87"/>
      <c r="AE51" s="55"/>
      <c r="AF51" s="55"/>
      <c r="AG51" s="55"/>
      <c r="AH51" s="55"/>
      <c r="AI51" s="87" t="str">
        <f>IF($E$3&lt;160000,IF($B$7=1,AI$42*1.02,"False"))</f>
        <v>False</v>
      </c>
      <c r="AJ51" s="87"/>
      <c r="AK51" s="87"/>
      <c r="AL51" s="41"/>
      <c r="AM51" s="87"/>
      <c r="AO51" s="55"/>
      <c r="AP51" s="55"/>
      <c r="AQ51" s="55"/>
      <c r="AR51" s="55"/>
      <c r="AS51" s="87" t="str">
        <f>IF($E$3&lt;160000,IF($B$7=1,AS$42*1.02,"False"))</f>
        <v>False</v>
      </c>
      <c r="AT51" s="87"/>
      <c r="AU51" s="87"/>
      <c r="AV51" s="41"/>
      <c r="AW51" s="87"/>
      <c r="AY51" s="55"/>
      <c r="AZ51" s="55"/>
      <c r="BA51" s="55"/>
      <c r="BB51" s="55"/>
      <c r="BC51" s="87" t="str">
        <f>IF($E$3&lt;160000,IF($B$7=1,BC$42*1.02,"False"))</f>
        <v>False</v>
      </c>
      <c r="BD51" s="87"/>
      <c r="BE51" s="87"/>
      <c r="BF51" s="41"/>
      <c r="BG51" s="87"/>
      <c r="BI51" s="55"/>
      <c r="BJ51" s="55"/>
      <c r="BK51" s="55"/>
      <c r="BL51" s="55"/>
      <c r="BM51" s="87" t="str">
        <f>IF($E$3&lt;160000,IF($B$7=1,BM$42*1.02,"False"))</f>
        <v>False</v>
      </c>
      <c r="BN51" s="87"/>
      <c r="BO51" s="87"/>
      <c r="BP51" s="41"/>
      <c r="BQ51" s="87"/>
      <c r="BS51" s="55"/>
      <c r="BT51" s="55"/>
      <c r="BU51" s="55"/>
      <c r="BV51" s="55"/>
      <c r="BW51" s="87" t="str">
        <f>IF($E$3&lt;160000,IF($B$7=1,BW$42*1.02,"False"))</f>
        <v>False</v>
      </c>
      <c r="BX51" s="87"/>
      <c r="BY51" s="87"/>
      <c r="BZ51" s="41"/>
      <c r="CA51" s="87"/>
      <c r="CC51" s="55"/>
      <c r="CD51" s="55"/>
      <c r="CE51" s="55"/>
      <c r="CF51" s="55"/>
      <c r="CG51" s="87" t="str">
        <f>IF($E$3&lt;160000,IF($B$7=1,CG$42*1.02,"False"))</f>
        <v>False</v>
      </c>
      <c r="CH51" s="87"/>
      <c r="CI51" s="87"/>
      <c r="CJ51" s="41"/>
      <c r="CK51" s="87"/>
      <c r="CM51" s="55"/>
      <c r="CN51" s="55"/>
      <c r="CO51" s="55"/>
      <c r="CP51" s="55"/>
      <c r="CQ51" s="87" t="str">
        <f>IF($E$3&lt;160000,IF($B$7=1,CQ$42*1.02,"False"))</f>
        <v>False</v>
      </c>
      <c r="CR51" s="87"/>
      <c r="CS51" s="87"/>
      <c r="CT51" s="41"/>
      <c r="CU51" s="87"/>
      <c r="CW51" s="55"/>
      <c r="CX51" s="55"/>
      <c r="CY51" s="55"/>
      <c r="CZ51" s="55"/>
      <c r="DA51" s="87" t="str">
        <f>IF($E$3&lt;160000,IF($B$7=1,DA$42*1.02,"False"))</f>
        <v>False</v>
      </c>
      <c r="DB51" s="87"/>
      <c r="DC51" s="87"/>
      <c r="DD51" s="41"/>
      <c r="DE51" s="87"/>
      <c r="DG51" s="55"/>
      <c r="DH51" s="55"/>
      <c r="DI51" s="55"/>
      <c r="DJ51" s="55"/>
      <c r="DK51" s="87" t="str">
        <f>IF($E$3&lt;160000,IF($B$7=1,DK$42*1.02,"False"))</f>
        <v>False</v>
      </c>
      <c r="DL51" s="87"/>
      <c r="DM51" s="87"/>
      <c r="DN51" s="41"/>
      <c r="DO51" s="87"/>
      <c r="DQ51" s="55"/>
      <c r="DR51" s="55"/>
      <c r="DS51" s="55"/>
      <c r="DT51" s="55"/>
      <c r="DU51" s="87" t="str">
        <f>IF($E$3&lt;160000,IF($B$7=1,DU$42*1.02,"False"))</f>
        <v>False</v>
      </c>
      <c r="DV51" s="87"/>
      <c r="DW51" s="87"/>
      <c r="DX51" s="41"/>
      <c r="DY51" s="87"/>
      <c r="EA51" s="55"/>
      <c r="EB51" s="55"/>
      <c r="EC51" s="55"/>
      <c r="ED51" s="55"/>
      <c r="EE51" s="87" t="str">
        <f>IF($E$3&lt;160000,IF($B$7=1,EE$42*1.02,"False"))</f>
        <v>False</v>
      </c>
      <c r="EF51" s="87"/>
      <c r="EG51" s="87"/>
      <c r="EH51" s="41"/>
      <c r="EI51" s="87"/>
    </row>
    <row r="52" spans="1:139" x14ac:dyDescent="0.3">
      <c r="A52" s="55"/>
      <c r="B52" s="55"/>
      <c r="C52" s="55"/>
      <c r="D52" s="55" t="s">
        <v>13</v>
      </c>
      <c r="E52" s="93">
        <f>B48*(E13/100)</f>
        <v>-46.326000000000001</v>
      </c>
      <c r="F52" s="41"/>
      <c r="G52" s="93">
        <f>B48*(G13/100)</f>
        <v>0</v>
      </c>
      <c r="H52" s="41"/>
      <c r="I52" s="93">
        <f>B48*(I13/100)</f>
        <v>0</v>
      </c>
      <c r="K52" s="55"/>
      <c r="L52" s="55"/>
      <c r="M52" s="55"/>
      <c r="N52" s="55" t="s">
        <v>13</v>
      </c>
      <c r="O52" s="93">
        <f>L48*(O13/100)</f>
        <v>-53.631</v>
      </c>
      <c r="P52" s="41"/>
      <c r="Q52" s="93">
        <f>L48*(Q13/100)</f>
        <v>0</v>
      </c>
      <c r="R52" s="41"/>
      <c r="S52" s="93">
        <f>L48*(S13/100)</f>
        <v>0</v>
      </c>
      <c r="U52" s="55"/>
      <c r="V52" s="55"/>
      <c r="W52" s="55"/>
      <c r="X52" s="55" t="s">
        <v>13</v>
      </c>
      <c r="Y52" s="93">
        <f>V48*(Y13/100)</f>
        <v>-44.643000000000008</v>
      </c>
      <c r="Z52" s="41"/>
      <c r="AA52" s="93">
        <f>V48*(AA13/100)</f>
        <v>0</v>
      </c>
      <c r="AB52" s="41"/>
      <c r="AC52" s="93">
        <f>V48*(AC13/100)</f>
        <v>0</v>
      </c>
      <c r="AE52" s="55"/>
      <c r="AF52" s="55"/>
      <c r="AG52" s="55"/>
      <c r="AH52" s="55" t="s">
        <v>13</v>
      </c>
      <c r="AI52" s="93">
        <f>AF48*(AI13/100)</f>
        <v>-45.458999999999996</v>
      </c>
      <c r="AJ52" s="93"/>
      <c r="AK52" s="93">
        <f>AF48*(AK13/100)</f>
        <v>0</v>
      </c>
      <c r="AL52" s="41"/>
      <c r="AM52" s="93">
        <f>AF48*(AM13/100)</f>
        <v>0</v>
      </c>
      <c r="AO52" s="55"/>
      <c r="AP52" s="55"/>
      <c r="AQ52" s="55"/>
      <c r="AR52" s="55" t="s">
        <v>13</v>
      </c>
      <c r="AS52" s="93">
        <f>AP48*(AS13/100)</f>
        <v>-45.291000000000004</v>
      </c>
      <c r="AT52" s="93"/>
      <c r="AU52" s="93">
        <f>AP48*(AU13/100)</f>
        <v>0</v>
      </c>
      <c r="AV52" s="41"/>
      <c r="AW52" s="93">
        <f>AP48*(AW13/100)</f>
        <v>0</v>
      </c>
      <c r="AY52" s="55"/>
      <c r="AZ52" s="55"/>
      <c r="BA52" s="55"/>
      <c r="BB52" s="55" t="s">
        <v>13</v>
      </c>
      <c r="BC52" s="93">
        <f>AZ48*(BC13/100)</f>
        <v>-60.285000000000004</v>
      </c>
      <c r="BD52" s="93"/>
      <c r="BE52" s="93">
        <f>AZ48*(BE13/100)</f>
        <v>0</v>
      </c>
      <c r="BF52" s="41"/>
      <c r="BG52" s="93">
        <f>AZ48*(BG13/100)</f>
        <v>0</v>
      </c>
      <c r="BI52" s="55"/>
      <c r="BJ52" s="55"/>
      <c r="BK52" s="55"/>
      <c r="BL52" s="55" t="s">
        <v>13</v>
      </c>
      <c r="BM52" s="93">
        <f>BJ48*(BM13/100)</f>
        <v>-78.212999999999994</v>
      </c>
      <c r="BN52" s="93"/>
      <c r="BO52" s="93">
        <f>BJ48*(BO13/100)</f>
        <v>0</v>
      </c>
      <c r="BP52" s="41"/>
      <c r="BQ52" s="93">
        <f>BJ48*(BQ13/100)</f>
        <v>0</v>
      </c>
      <c r="BS52" s="55"/>
      <c r="BT52" s="55"/>
      <c r="BU52" s="55"/>
      <c r="BV52" s="55" t="s">
        <v>13</v>
      </c>
      <c r="BW52" s="93">
        <f>BT48*(BW13/100)</f>
        <v>-80.532000000000011</v>
      </c>
      <c r="BX52" s="93"/>
      <c r="BY52" s="93">
        <f>BT48*(BY13/100)</f>
        <v>0</v>
      </c>
      <c r="BZ52" s="41"/>
      <c r="CA52" s="93">
        <f>BT48*(CA13/100)</f>
        <v>0</v>
      </c>
      <c r="CC52" s="55"/>
      <c r="CD52" s="55"/>
      <c r="CE52" s="55"/>
      <c r="CF52" s="55" t="s">
        <v>13</v>
      </c>
      <c r="CG52" s="93">
        <f>CD48*(CG13/100)</f>
        <v>-79.811999999999998</v>
      </c>
      <c r="CH52" s="93"/>
      <c r="CI52" s="93">
        <f>CD48*(CI13/100)</f>
        <v>0</v>
      </c>
      <c r="CJ52" s="41"/>
      <c r="CK52" s="93">
        <f>CD48*(CK13/100)</f>
        <v>0</v>
      </c>
      <c r="CM52" s="55"/>
      <c r="CN52" s="55"/>
      <c r="CO52" s="55"/>
      <c r="CP52" s="55" t="s">
        <v>13</v>
      </c>
      <c r="CQ52" s="93">
        <f>CN48*(CQ13/100)</f>
        <v>-79.760999999999996</v>
      </c>
      <c r="CR52" s="93"/>
      <c r="CS52" s="93">
        <f>CN48*(CS13/100)</f>
        <v>0</v>
      </c>
      <c r="CT52" s="41"/>
      <c r="CU52" s="93">
        <f>CN48*(CU13/100)</f>
        <v>0</v>
      </c>
      <c r="CW52" s="55"/>
      <c r="CX52" s="55"/>
      <c r="CY52" s="55"/>
      <c r="CZ52" s="55" t="s">
        <v>13</v>
      </c>
      <c r="DA52" s="93">
        <f>CX48*(DA13/100)</f>
        <v>-97.611000000000004</v>
      </c>
      <c r="DB52" s="93"/>
      <c r="DC52" s="93">
        <f>CX48*(DC13/100)</f>
        <v>0</v>
      </c>
      <c r="DD52" s="41"/>
      <c r="DE52" s="93">
        <f>CX48*(DE13/100)</f>
        <v>0</v>
      </c>
      <c r="DG52" s="55"/>
      <c r="DH52" s="55"/>
      <c r="DI52" s="55"/>
      <c r="DJ52" s="55" t="s">
        <v>13</v>
      </c>
      <c r="DK52" s="93">
        <f>DH48*(DK13/100)</f>
        <v>-106.968</v>
      </c>
      <c r="DL52" s="93"/>
      <c r="DM52" s="93">
        <f>DH48*(DM13/100)</f>
        <v>0</v>
      </c>
      <c r="DN52" s="41"/>
      <c r="DO52" s="93">
        <f>DH48*(DO13/100)</f>
        <v>0</v>
      </c>
      <c r="DQ52" s="55"/>
      <c r="DR52" s="55"/>
      <c r="DS52" s="55"/>
      <c r="DT52" s="55" t="s">
        <v>13</v>
      </c>
      <c r="DU52" s="93">
        <f>DR48*(DU13/100)</f>
        <v>-106.773</v>
      </c>
      <c r="DV52" s="93"/>
      <c r="DW52" s="93">
        <f>DR48*(DW13/100)</f>
        <v>0</v>
      </c>
      <c r="DX52" s="41"/>
      <c r="DY52" s="93">
        <f>DR48*(DY13/100)</f>
        <v>0</v>
      </c>
      <c r="EA52" s="55"/>
      <c r="EB52" s="55"/>
      <c r="EC52" s="55"/>
      <c r="ED52" s="55" t="s">
        <v>13</v>
      </c>
      <c r="EE52" s="93">
        <f>EB48*(EE13/100)</f>
        <v>-72.444000000000003</v>
      </c>
      <c r="EF52" s="93"/>
      <c r="EG52" s="93">
        <f>EB48*(EG13/100)</f>
        <v>0</v>
      </c>
      <c r="EH52" s="41"/>
      <c r="EI52" s="93">
        <f>EB48*(EI13/100)</f>
        <v>0</v>
      </c>
    </row>
    <row r="53" spans="1:139" x14ac:dyDescent="0.3">
      <c r="A53" s="55"/>
      <c r="B53" s="55"/>
      <c r="C53" s="55"/>
      <c r="D53" s="55"/>
      <c r="E53" s="41"/>
      <c r="F53" s="41"/>
      <c r="G53" s="41"/>
      <c r="H53" s="41"/>
      <c r="I53" s="41"/>
      <c r="K53" s="55"/>
      <c r="L53" s="55"/>
      <c r="M53" s="55"/>
      <c r="N53" s="55"/>
      <c r="O53" s="41"/>
      <c r="P53" s="41"/>
      <c r="Q53" s="41"/>
      <c r="R53" s="41"/>
      <c r="S53" s="41"/>
      <c r="U53" s="55"/>
      <c r="V53" s="55"/>
      <c r="W53" s="55"/>
      <c r="X53" s="55"/>
      <c r="Y53" s="41"/>
      <c r="Z53" s="41"/>
      <c r="AA53" s="41"/>
      <c r="AB53" s="41"/>
      <c r="AC53" s="41"/>
      <c r="AE53" s="55"/>
      <c r="AF53" s="55"/>
      <c r="AG53" s="55"/>
      <c r="AH53" s="55"/>
      <c r="AI53" s="41"/>
      <c r="AJ53" s="41"/>
      <c r="AK53" s="41"/>
      <c r="AL53" s="41"/>
      <c r="AM53" s="41"/>
      <c r="AO53" s="55"/>
      <c r="AP53" s="55"/>
      <c r="AQ53" s="55"/>
      <c r="AR53" s="55"/>
      <c r="AS53" s="41"/>
      <c r="AT53" s="41"/>
      <c r="AU53" s="41"/>
      <c r="AV53" s="41"/>
      <c r="AW53" s="41"/>
      <c r="AY53" s="55"/>
      <c r="AZ53" s="55"/>
      <c r="BA53" s="55"/>
      <c r="BB53" s="55"/>
      <c r="BC53" s="41"/>
      <c r="BD53" s="41"/>
      <c r="BE53" s="41"/>
      <c r="BF53" s="41"/>
      <c r="BG53" s="41"/>
      <c r="BI53" s="55"/>
      <c r="BJ53" s="55"/>
      <c r="BK53" s="55"/>
      <c r="BL53" s="55"/>
      <c r="BM53" s="41"/>
      <c r="BN53" s="41"/>
      <c r="BO53" s="41"/>
      <c r="BP53" s="41"/>
      <c r="BQ53" s="41"/>
      <c r="BS53" s="55"/>
      <c r="BT53" s="55"/>
      <c r="BU53" s="55"/>
      <c r="BV53" s="55"/>
      <c r="BW53" s="41"/>
      <c r="BX53" s="41"/>
      <c r="BY53" s="41"/>
      <c r="BZ53" s="41"/>
      <c r="CA53" s="41"/>
      <c r="CC53" s="55"/>
      <c r="CD53" s="55"/>
      <c r="CE53" s="55"/>
      <c r="CF53" s="55"/>
      <c r="CG53" s="41"/>
      <c r="CH53" s="41"/>
      <c r="CI53" s="41"/>
      <c r="CJ53" s="41"/>
      <c r="CK53" s="41"/>
      <c r="CM53" s="55"/>
      <c r="CN53" s="55"/>
      <c r="CO53" s="55"/>
      <c r="CP53" s="55"/>
      <c r="CQ53" s="41"/>
      <c r="CR53" s="41"/>
      <c r="CS53" s="41"/>
      <c r="CT53" s="41"/>
      <c r="CU53" s="41"/>
      <c r="CW53" s="55"/>
      <c r="CX53" s="55"/>
      <c r="CY53" s="55"/>
      <c r="CZ53" s="55"/>
      <c r="DA53" s="41"/>
      <c r="DB53" s="41"/>
      <c r="DC53" s="41"/>
      <c r="DD53" s="41"/>
      <c r="DE53" s="41"/>
      <c r="DG53" s="55"/>
      <c r="DH53" s="55"/>
      <c r="DI53" s="55"/>
      <c r="DJ53" s="55"/>
      <c r="DK53" s="41"/>
      <c r="DL53" s="41"/>
      <c r="DM53" s="41"/>
      <c r="DN53" s="41"/>
      <c r="DO53" s="41"/>
      <c r="DQ53" s="55"/>
      <c r="DR53" s="55"/>
      <c r="DS53" s="55"/>
      <c r="DT53" s="55"/>
      <c r="DU53" s="41"/>
      <c r="DV53" s="41"/>
      <c r="DW53" s="41"/>
      <c r="DX53" s="41"/>
      <c r="DY53" s="41"/>
      <c r="EA53" s="55"/>
      <c r="EB53" s="55"/>
      <c r="EC53" s="55"/>
      <c r="ED53" s="55"/>
      <c r="EE53" s="41"/>
      <c r="EF53" s="41"/>
      <c r="EG53" s="41"/>
      <c r="EH53" s="41"/>
      <c r="EI53" s="41"/>
    </row>
    <row r="54" spans="1:139" x14ac:dyDescent="0.3">
      <c r="A54" s="55"/>
      <c r="B54" s="55"/>
      <c r="C54" s="55"/>
      <c r="D54" s="55" t="s">
        <v>17</v>
      </c>
      <c r="E54" s="41">
        <f>MIN(E50:E52)</f>
        <v>-46.326000000000001</v>
      </c>
      <c r="F54" s="41"/>
      <c r="G54" s="41">
        <f>MIN(G50:G52)</f>
        <v>0</v>
      </c>
      <c r="H54" s="41"/>
      <c r="I54" s="41">
        <f>MIN(I50:I52)</f>
        <v>0</v>
      </c>
      <c r="K54" s="55"/>
      <c r="L54" s="55"/>
      <c r="M54" s="55"/>
      <c r="N54" s="55" t="s">
        <v>17</v>
      </c>
      <c r="O54" s="41">
        <f>MIN(O50:O52)</f>
        <v>-53.631</v>
      </c>
      <c r="P54" s="41"/>
      <c r="Q54" s="41">
        <f>MIN(Q50:Q52)</f>
        <v>0</v>
      </c>
      <c r="R54" s="41"/>
      <c r="S54" s="41">
        <f>MIN(S50:S52)</f>
        <v>0</v>
      </c>
      <c r="U54" s="55"/>
      <c r="V54" s="55"/>
      <c r="W54" s="55"/>
      <c r="X54" s="55" t="s">
        <v>17</v>
      </c>
      <c r="Y54" s="41">
        <f>MIN(Y50:Y52)</f>
        <v>-44.643000000000008</v>
      </c>
      <c r="Z54" s="41"/>
      <c r="AA54" s="41">
        <f>MIN(AA50:AA52)</f>
        <v>0</v>
      </c>
      <c r="AB54" s="41"/>
      <c r="AC54" s="41">
        <f>MIN(AC50:AC52)</f>
        <v>0</v>
      </c>
      <c r="AE54" s="55"/>
      <c r="AF54" s="55"/>
      <c r="AG54" s="55"/>
      <c r="AH54" s="55" t="s">
        <v>17</v>
      </c>
      <c r="AI54" s="41">
        <f>MIN(AI50:AI52)</f>
        <v>-45.458999999999996</v>
      </c>
      <c r="AJ54" s="41"/>
      <c r="AK54" s="41">
        <f>MIN(AK50:AK52)</f>
        <v>0</v>
      </c>
      <c r="AL54" s="41"/>
      <c r="AM54" s="41">
        <f>MIN(AM50:AM52)</f>
        <v>0</v>
      </c>
      <c r="AO54" s="55"/>
      <c r="AP54" s="55"/>
      <c r="AQ54" s="55"/>
      <c r="AR54" s="55" t="s">
        <v>17</v>
      </c>
      <c r="AS54" s="41">
        <f>MIN(AS50:AS52)</f>
        <v>-45.291000000000004</v>
      </c>
      <c r="AT54" s="41"/>
      <c r="AU54" s="41">
        <f>MIN(AU50:AU52)</f>
        <v>0</v>
      </c>
      <c r="AV54" s="41"/>
      <c r="AW54" s="41">
        <f>MIN(AW50:AW52)</f>
        <v>0</v>
      </c>
      <c r="AY54" s="55"/>
      <c r="AZ54" s="55"/>
      <c r="BA54" s="55"/>
      <c r="BB54" s="55" t="s">
        <v>17</v>
      </c>
      <c r="BC54" s="41">
        <f>MIN(BC50:BC52)</f>
        <v>-60.285000000000004</v>
      </c>
      <c r="BD54" s="41"/>
      <c r="BE54" s="41">
        <f>MIN(BE50:BE52)</f>
        <v>0</v>
      </c>
      <c r="BF54" s="41"/>
      <c r="BG54" s="41">
        <f>MIN(BG50:BG52)</f>
        <v>0</v>
      </c>
      <c r="BI54" s="55"/>
      <c r="BJ54" s="55"/>
      <c r="BK54" s="55"/>
      <c r="BL54" s="55" t="s">
        <v>17</v>
      </c>
      <c r="BM54" s="41">
        <f>MIN(BM50:BM52)</f>
        <v>-78.212999999999994</v>
      </c>
      <c r="BN54" s="41"/>
      <c r="BO54" s="41">
        <f>MIN(BO50:BO52)</f>
        <v>0</v>
      </c>
      <c r="BP54" s="41"/>
      <c r="BQ54" s="41">
        <f>MIN(BQ50:BQ52)</f>
        <v>0</v>
      </c>
      <c r="BS54" s="55"/>
      <c r="BT54" s="55"/>
      <c r="BU54" s="55"/>
      <c r="BV54" s="55" t="s">
        <v>17</v>
      </c>
      <c r="BW54" s="41">
        <f>MIN(BW50:BW52)</f>
        <v>-80.532000000000011</v>
      </c>
      <c r="BX54" s="41"/>
      <c r="BY54" s="41">
        <f>MIN(BY50:BY52)</f>
        <v>0</v>
      </c>
      <c r="BZ54" s="41"/>
      <c r="CA54" s="41">
        <f>MIN(CA50:CA52)</f>
        <v>0</v>
      </c>
      <c r="CC54" s="55"/>
      <c r="CD54" s="55"/>
      <c r="CE54" s="55"/>
      <c r="CF54" s="55" t="s">
        <v>17</v>
      </c>
      <c r="CG54" s="41">
        <f>MIN(CG50:CG52)</f>
        <v>-79.811999999999998</v>
      </c>
      <c r="CH54" s="41"/>
      <c r="CI54" s="41">
        <f>MIN(CI50:CI52)</f>
        <v>0</v>
      </c>
      <c r="CJ54" s="41"/>
      <c r="CK54" s="41">
        <f>MIN(CK50:CK52)</f>
        <v>0</v>
      </c>
      <c r="CM54" s="55"/>
      <c r="CN54" s="55"/>
      <c r="CO54" s="55"/>
      <c r="CP54" s="55" t="s">
        <v>17</v>
      </c>
      <c r="CQ54" s="41">
        <f>MIN(CQ50:CQ52)</f>
        <v>-79.760999999999996</v>
      </c>
      <c r="CR54" s="41"/>
      <c r="CS54" s="41">
        <f>MIN(CS50:CS52)</f>
        <v>0</v>
      </c>
      <c r="CT54" s="41"/>
      <c r="CU54" s="41">
        <f>MIN(CU50:CU52)</f>
        <v>0</v>
      </c>
      <c r="CW54" s="55"/>
      <c r="CX54" s="55"/>
      <c r="CY54" s="55"/>
      <c r="CZ54" s="55" t="s">
        <v>17</v>
      </c>
      <c r="DA54" s="41">
        <f>MIN(DA50:DA52)</f>
        <v>-97.611000000000004</v>
      </c>
      <c r="DB54" s="41"/>
      <c r="DC54" s="41">
        <f>MIN(DC50:DC52)</f>
        <v>0</v>
      </c>
      <c r="DD54" s="41"/>
      <c r="DE54" s="41">
        <f>MIN(DE50:DE52)</f>
        <v>0</v>
      </c>
      <c r="DG54" s="55"/>
      <c r="DH54" s="55"/>
      <c r="DI54" s="55"/>
      <c r="DJ54" s="55" t="s">
        <v>17</v>
      </c>
      <c r="DK54" s="41">
        <f>MIN(DK50:DK52)</f>
        <v>-106.968</v>
      </c>
      <c r="DL54" s="41"/>
      <c r="DM54" s="41">
        <f>MIN(DM50:DM52)</f>
        <v>0</v>
      </c>
      <c r="DN54" s="41"/>
      <c r="DO54" s="41">
        <f>MIN(DO50:DO52)</f>
        <v>0</v>
      </c>
      <c r="DQ54" s="55"/>
      <c r="DR54" s="55"/>
      <c r="DS54" s="55"/>
      <c r="DT54" s="55" t="s">
        <v>17</v>
      </c>
      <c r="DU54" s="41">
        <f>MIN(DU50:DU52)</f>
        <v>-106.773</v>
      </c>
      <c r="DV54" s="41"/>
      <c r="DW54" s="41">
        <f>MIN(DW50:DW52)</f>
        <v>0</v>
      </c>
      <c r="DX54" s="41"/>
      <c r="DY54" s="41">
        <f>MIN(DY50:DY52)</f>
        <v>0</v>
      </c>
      <c r="EA54" s="55"/>
      <c r="EB54" s="55"/>
      <c r="EC54" s="55"/>
      <c r="ED54" s="55" t="s">
        <v>17</v>
      </c>
      <c r="EE54" s="41">
        <f>MIN(EE50:EE52)</f>
        <v>-72.444000000000003</v>
      </c>
      <c r="EF54" s="41"/>
      <c r="EG54" s="41">
        <f>MIN(EG50:EG52)</f>
        <v>0</v>
      </c>
      <c r="EH54" s="41"/>
      <c r="EI54" s="41">
        <f>MIN(EI50:EI52)</f>
        <v>0</v>
      </c>
    </row>
    <row r="55" spans="1:139" x14ac:dyDescent="0.3">
      <c r="A55" s="55"/>
      <c r="B55" s="55"/>
      <c r="C55" s="55"/>
      <c r="D55" s="24" t="s">
        <v>18</v>
      </c>
      <c r="E55" s="42">
        <f>E54-E22</f>
        <v>0.45900000000000318</v>
      </c>
      <c r="F55" s="42"/>
      <c r="G55" s="42">
        <f>G54-G22</f>
        <v>0</v>
      </c>
      <c r="H55" s="42"/>
      <c r="I55" s="42">
        <f>I54-I22</f>
        <v>0</v>
      </c>
      <c r="K55" s="55"/>
      <c r="L55" s="55"/>
      <c r="M55" s="55"/>
      <c r="N55" s="24" t="s">
        <v>18</v>
      </c>
      <c r="O55" s="42">
        <f>O54-O22</f>
        <v>0.45899999999999608</v>
      </c>
      <c r="P55" s="42"/>
      <c r="Q55" s="42">
        <f>Q54-Q22</f>
        <v>0</v>
      </c>
      <c r="R55" s="42"/>
      <c r="S55" s="42">
        <f>S54-S22</f>
        <v>0</v>
      </c>
      <c r="U55" s="55"/>
      <c r="V55" s="55"/>
      <c r="W55" s="55"/>
      <c r="X55" s="24" t="s">
        <v>18</v>
      </c>
      <c r="Y55" s="42">
        <f>Y54-Y22</f>
        <v>0.45899999999999608</v>
      </c>
      <c r="Z55" s="42"/>
      <c r="AA55" s="42">
        <f>AA54-AA22</f>
        <v>0</v>
      </c>
      <c r="AB55" s="42"/>
      <c r="AC55" s="42">
        <f>AC54-AC22</f>
        <v>0</v>
      </c>
      <c r="AE55" s="55"/>
      <c r="AF55" s="55"/>
      <c r="AG55" s="55"/>
      <c r="AH55" s="24" t="s">
        <v>18</v>
      </c>
      <c r="AI55" s="42">
        <f>AI54-AI22</f>
        <v>0.45900000000000318</v>
      </c>
      <c r="AJ55" s="42"/>
      <c r="AK55" s="42">
        <f>AK54-AK22</f>
        <v>0</v>
      </c>
      <c r="AL55" s="42"/>
      <c r="AM55" s="42">
        <f>AM54-AM22</f>
        <v>0</v>
      </c>
      <c r="AO55" s="55"/>
      <c r="AP55" s="55"/>
      <c r="AQ55" s="55"/>
      <c r="AR55" s="24" t="s">
        <v>18</v>
      </c>
      <c r="AS55" s="42">
        <f>AS54-AS22</f>
        <v>0.45899999999999608</v>
      </c>
      <c r="AT55" s="42"/>
      <c r="AU55" s="42">
        <f>AU54-AU22</f>
        <v>0</v>
      </c>
      <c r="AV55" s="42"/>
      <c r="AW55" s="42">
        <f>AW54-AW22</f>
        <v>0</v>
      </c>
      <c r="AY55" s="55"/>
      <c r="AZ55" s="55"/>
      <c r="BA55" s="55"/>
      <c r="BB55" s="24" t="s">
        <v>18</v>
      </c>
      <c r="BC55" s="42">
        <f>BC54-BC22</f>
        <v>0.45899999999999608</v>
      </c>
      <c r="BD55" s="42"/>
      <c r="BE55" s="42">
        <f>BE54-BE22</f>
        <v>0</v>
      </c>
      <c r="BF55" s="42"/>
      <c r="BG55" s="42">
        <f>BG54-BG22</f>
        <v>0</v>
      </c>
      <c r="BI55" s="55"/>
      <c r="BJ55" s="55"/>
      <c r="BK55" s="55"/>
      <c r="BL55" s="24" t="s">
        <v>18</v>
      </c>
      <c r="BM55" s="42">
        <f>BM54-BM22</f>
        <v>0.45900000000000318</v>
      </c>
      <c r="BN55" s="42"/>
      <c r="BO55" s="42">
        <f>BO54-BO22</f>
        <v>0</v>
      </c>
      <c r="BP55" s="42"/>
      <c r="BQ55" s="42">
        <f>BQ54-BQ22</f>
        <v>0</v>
      </c>
      <c r="BS55" s="55"/>
      <c r="BT55" s="55"/>
      <c r="BU55" s="55"/>
      <c r="BV55" s="24" t="s">
        <v>18</v>
      </c>
      <c r="BW55" s="42">
        <f>BW54-BW22</f>
        <v>0.45899999999998897</v>
      </c>
      <c r="BX55" s="42"/>
      <c r="BY55" s="42">
        <f>BY54-BY22</f>
        <v>0</v>
      </c>
      <c r="BZ55" s="42"/>
      <c r="CA55" s="42">
        <f>CA54-CA22</f>
        <v>0</v>
      </c>
      <c r="CC55" s="55"/>
      <c r="CD55" s="55"/>
      <c r="CE55" s="55"/>
      <c r="CF55" s="24" t="s">
        <v>18</v>
      </c>
      <c r="CG55" s="42">
        <f>CG54-CG22</f>
        <v>0.45900000000000318</v>
      </c>
      <c r="CH55" s="42"/>
      <c r="CI55" s="42">
        <f>CI54-CI22</f>
        <v>0</v>
      </c>
      <c r="CJ55" s="42"/>
      <c r="CK55" s="42">
        <f>CK54-CK22</f>
        <v>0</v>
      </c>
      <c r="CM55" s="55"/>
      <c r="CN55" s="55"/>
      <c r="CO55" s="55"/>
      <c r="CP55" s="24" t="s">
        <v>18</v>
      </c>
      <c r="CQ55" s="42">
        <f>CQ54-CQ22</f>
        <v>0.45900000000000318</v>
      </c>
      <c r="CR55" s="42"/>
      <c r="CS55" s="42">
        <f>CS54-CS22</f>
        <v>0</v>
      </c>
      <c r="CT55" s="42"/>
      <c r="CU55" s="42">
        <f>CU54-CU22</f>
        <v>0</v>
      </c>
      <c r="CW55" s="55"/>
      <c r="CX55" s="55"/>
      <c r="CY55" s="55"/>
      <c r="CZ55" s="24" t="s">
        <v>18</v>
      </c>
      <c r="DA55" s="42">
        <f>DA54-DA22</f>
        <v>0.45900000000000318</v>
      </c>
      <c r="DB55" s="42"/>
      <c r="DC55" s="42">
        <f>DC54-DC22</f>
        <v>0</v>
      </c>
      <c r="DD55" s="42"/>
      <c r="DE55" s="42">
        <f>DE54-DE22</f>
        <v>0</v>
      </c>
      <c r="DG55" s="55"/>
      <c r="DH55" s="55"/>
      <c r="DI55" s="55"/>
      <c r="DJ55" s="24" t="s">
        <v>18</v>
      </c>
      <c r="DK55" s="42">
        <f>DK54-DK22</f>
        <v>0.45900000000000318</v>
      </c>
      <c r="DL55" s="42"/>
      <c r="DM55" s="42">
        <f>DM54-DM22</f>
        <v>0</v>
      </c>
      <c r="DN55" s="42"/>
      <c r="DO55" s="42">
        <f>DO54-DO22</f>
        <v>0</v>
      </c>
      <c r="DQ55" s="55"/>
      <c r="DR55" s="55"/>
      <c r="DS55" s="55"/>
      <c r="DT55" s="24" t="s">
        <v>18</v>
      </c>
      <c r="DU55" s="42">
        <f>DU54-DU22</f>
        <v>0.45900000000000318</v>
      </c>
      <c r="DV55" s="42"/>
      <c r="DW55" s="42">
        <f>DW54-DW22</f>
        <v>0</v>
      </c>
      <c r="DX55" s="42"/>
      <c r="DY55" s="42">
        <f>DY54-DY22</f>
        <v>0</v>
      </c>
      <c r="EA55" s="55"/>
      <c r="EB55" s="55"/>
      <c r="EC55" s="55"/>
      <c r="ED55" s="24" t="s">
        <v>18</v>
      </c>
      <c r="EE55" s="42">
        <f>EE54-EE22</f>
        <v>0.45899999999998897</v>
      </c>
      <c r="EF55" s="42"/>
      <c r="EG55" s="42">
        <f>EG54-EG22</f>
        <v>0</v>
      </c>
      <c r="EH55" s="42"/>
      <c r="EI55" s="42">
        <f>EI54-EI22</f>
        <v>0</v>
      </c>
    </row>
    <row r="56" spans="1:139" x14ac:dyDescent="0.3">
      <c r="K56" s="55"/>
      <c r="L56" s="55"/>
      <c r="M56" s="55"/>
      <c r="N56" s="55"/>
      <c r="O56" s="55"/>
      <c r="P56" s="55"/>
      <c r="S56" s="55"/>
      <c r="U56" s="55"/>
      <c r="V56" s="55"/>
      <c r="W56" s="55"/>
      <c r="X56" s="55"/>
      <c r="Y56" s="55"/>
      <c r="Z56" s="55"/>
      <c r="AC56" s="55"/>
      <c r="AE56" s="55"/>
      <c r="AF56" s="55"/>
      <c r="AG56" s="55"/>
      <c r="AH56" s="55"/>
      <c r="AI56" s="55"/>
      <c r="AL56" s="55"/>
      <c r="AM56" s="55"/>
      <c r="AO56" s="55"/>
      <c r="AP56" s="55"/>
      <c r="AQ56" s="55"/>
      <c r="AR56" s="55"/>
      <c r="AS56" s="55"/>
      <c r="AV56" s="55"/>
      <c r="AW56" s="55"/>
      <c r="AY56" s="55"/>
      <c r="AZ56" s="55"/>
      <c r="BA56" s="55"/>
      <c r="BB56" s="55"/>
      <c r="BC56" s="55"/>
      <c r="BF56" s="55"/>
      <c r="BG56" s="55"/>
      <c r="BI56" s="55"/>
      <c r="BJ56" s="55"/>
      <c r="BK56" s="55"/>
      <c r="BL56" s="55"/>
      <c r="BM56" s="55"/>
      <c r="BP56" s="55"/>
      <c r="BQ56" s="55"/>
      <c r="BS56" s="55"/>
      <c r="BT56" s="55"/>
      <c r="BU56" s="55"/>
      <c r="BV56" s="55"/>
      <c r="BW56" s="55"/>
      <c r="BZ56" s="55"/>
      <c r="CA56" s="55"/>
      <c r="CC56" s="55"/>
      <c r="CD56" s="55"/>
      <c r="CE56" s="55"/>
      <c r="CF56" s="55"/>
      <c r="CG56" s="55"/>
      <c r="CJ56" s="55"/>
      <c r="CK56" s="55"/>
      <c r="CM56" s="55"/>
      <c r="CN56" s="55"/>
      <c r="CO56" s="55"/>
      <c r="CP56" s="55"/>
      <c r="CQ56" s="55"/>
      <c r="CT56" s="55"/>
      <c r="CU56" s="55"/>
      <c r="CW56" s="55"/>
      <c r="CX56" s="55"/>
      <c r="CY56" s="55"/>
      <c r="CZ56" s="55"/>
      <c r="DA56" s="55"/>
      <c r="DD56" s="55"/>
      <c r="DE56" s="55"/>
      <c r="DG56" s="55"/>
      <c r="DH56" s="55"/>
      <c r="DI56" s="55"/>
      <c r="DJ56" s="55"/>
      <c r="DK56" s="55"/>
      <c r="DN56" s="55"/>
      <c r="DO56" s="55"/>
      <c r="DQ56" s="55"/>
      <c r="DR56" s="55"/>
      <c r="DS56" s="55"/>
      <c r="DT56" s="55"/>
      <c r="DU56" s="55"/>
      <c r="DX56" s="55"/>
      <c r="DY56" s="55"/>
      <c r="EA56" s="55"/>
      <c r="EB56" s="55"/>
      <c r="EC56" s="55"/>
      <c r="ED56" s="55"/>
      <c r="EE56" s="55"/>
      <c r="EH56" s="55"/>
      <c r="EI56" s="55"/>
    </row>
    <row r="57" spans="1:139" x14ac:dyDescent="0.3">
      <c r="A57" s="8"/>
      <c r="B57" s="55"/>
      <c r="C57" s="55"/>
      <c r="D57" s="8"/>
      <c r="E57" s="41"/>
      <c r="F57" s="41"/>
      <c r="G57" s="41"/>
      <c r="H57" s="41"/>
      <c r="I57" s="41"/>
      <c r="K57" s="8"/>
      <c r="L57" s="55"/>
      <c r="M57" s="55"/>
      <c r="N57" s="8"/>
      <c r="O57" s="41"/>
      <c r="P57" s="41"/>
      <c r="Q57" s="41"/>
      <c r="R57" s="41"/>
      <c r="S57" s="41"/>
      <c r="U57" s="8"/>
      <c r="V57" s="55"/>
      <c r="W57" s="55"/>
      <c r="X57" s="8"/>
      <c r="Y57" s="41"/>
      <c r="Z57" s="41"/>
      <c r="AA57" s="41"/>
      <c r="AB57" s="41"/>
      <c r="AC57" s="41"/>
      <c r="AE57" s="8"/>
      <c r="AF57" s="55"/>
      <c r="AG57" s="55"/>
      <c r="AH57" s="8"/>
      <c r="AI57" s="41"/>
      <c r="AJ57" s="41"/>
      <c r="AK57" s="41"/>
      <c r="AL57" s="41"/>
      <c r="AM57" s="41"/>
      <c r="AO57" s="8"/>
      <c r="AP57" s="55"/>
      <c r="AQ57" s="55"/>
      <c r="AR57" s="8"/>
      <c r="AS57" s="41"/>
      <c r="AT57" s="41"/>
      <c r="AU57" s="41"/>
      <c r="AV57" s="41"/>
      <c r="AW57" s="41"/>
      <c r="AY57" s="8"/>
      <c r="AZ57" s="55"/>
      <c r="BA57" s="55"/>
      <c r="BB57" s="8"/>
      <c r="BC57" s="41"/>
      <c r="BD57" s="41"/>
      <c r="BE57" s="41"/>
      <c r="BF57" s="41"/>
      <c r="BG57" s="41"/>
      <c r="BI57" s="8"/>
      <c r="BJ57" s="55"/>
      <c r="BK57" s="55"/>
      <c r="BL57" s="8"/>
      <c r="BM57" s="41"/>
      <c r="BN57" s="41"/>
      <c r="BO57" s="41"/>
      <c r="BP57" s="41"/>
      <c r="BQ57" s="41"/>
      <c r="BS57" s="8"/>
      <c r="BT57" s="55"/>
      <c r="BU57" s="55"/>
      <c r="BV57" s="8"/>
      <c r="BW57" s="41"/>
      <c r="BX57" s="41"/>
      <c r="BY57" s="41"/>
      <c r="BZ57" s="41"/>
      <c r="CA57" s="41"/>
      <c r="CC57" s="8"/>
      <c r="CD57" s="55"/>
      <c r="CE57" s="55"/>
      <c r="CF57" s="8"/>
      <c r="CG57" s="41"/>
      <c r="CH57" s="41"/>
      <c r="CI57" s="41"/>
      <c r="CJ57" s="41"/>
      <c r="CK57" s="41"/>
      <c r="CM57" s="8"/>
      <c r="CN57" s="55"/>
      <c r="CO57" s="55"/>
      <c r="CP57" s="8"/>
      <c r="CQ57" s="41"/>
      <c r="CR57" s="41"/>
      <c r="CS57" s="41"/>
      <c r="CT57" s="41"/>
      <c r="CU57" s="41"/>
      <c r="CW57" s="8"/>
      <c r="CX57" s="55"/>
      <c r="CY57" s="55"/>
      <c r="CZ57" s="8"/>
      <c r="DA57" s="41"/>
      <c r="DB57" s="41"/>
      <c r="DC57" s="41"/>
      <c r="DD57" s="41"/>
      <c r="DE57" s="41"/>
      <c r="DG57" s="8"/>
      <c r="DH57" s="55"/>
      <c r="DI57" s="55"/>
      <c r="DJ57" s="8"/>
      <c r="DK57" s="41"/>
      <c r="DL57" s="41"/>
      <c r="DM57" s="41"/>
      <c r="DN57" s="41"/>
      <c r="DO57" s="41"/>
      <c r="DQ57" s="8"/>
      <c r="DR57" s="55"/>
      <c r="DS57" s="55"/>
      <c r="DT57" s="8"/>
      <c r="DU57" s="41"/>
      <c r="DV57" s="41"/>
      <c r="DW57" s="41"/>
      <c r="DX57" s="41"/>
      <c r="DY57" s="41"/>
      <c r="EA57" s="8"/>
      <c r="EB57" s="55"/>
      <c r="EC57" s="55"/>
      <c r="ED57" s="8"/>
      <c r="EE57" s="41"/>
      <c r="EF57" s="41"/>
      <c r="EG57" s="41"/>
      <c r="EH57" s="41"/>
      <c r="EI57" s="41"/>
    </row>
  </sheetData>
  <mergeCells count="14">
    <mergeCell ref="A1:I1"/>
    <mergeCell ref="K1:S1"/>
    <mergeCell ref="U1:AC1"/>
    <mergeCell ref="EA1:EI1"/>
    <mergeCell ref="DQ1:DY1"/>
    <mergeCell ref="DG1:DO1"/>
    <mergeCell ref="CW1:DE1"/>
    <mergeCell ref="CM1:CU1"/>
    <mergeCell ref="CC1:CK1"/>
    <mergeCell ref="BS1:CA1"/>
    <mergeCell ref="BI1:BQ1"/>
    <mergeCell ref="AY1:BG1"/>
    <mergeCell ref="AO1:AW1"/>
    <mergeCell ref="AE1:AM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Sheet3</vt:lpstr>
      <vt:lpstr>Overall Calculator</vt:lpstr>
      <vt:lpstr>Backup Info</vt:lpstr>
    </vt:vector>
  </TitlesOfParts>
  <Company>Stifel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Stifel</dc:creator>
  <cp:lastModifiedBy>Steve Snider</cp:lastModifiedBy>
  <cp:lastPrinted>2017-06-02T18:48:15Z</cp:lastPrinted>
  <dcterms:created xsi:type="dcterms:W3CDTF">2017-05-17T14:28:44Z</dcterms:created>
  <dcterms:modified xsi:type="dcterms:W3CDTF">2019-02-13T13:07:43Z</dcterms:modified>
</cp:coreProperties>
</file>